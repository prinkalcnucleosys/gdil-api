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showInkAnnotation="0" codeName="ThisWorkbook"/>
  <mc:AlternateContent xmlns:mc="http://schemas.openxmlformats.org/markup-compatibility/2006">
    <mc:Choice Requires="x15">
      <x15ac:absPath xmlns:x15ac="http://schemas.microsoft.com/office/spreadsheetml/2010/11/ac" url="E:\Retainer Clients\Anshuni\2020-2021\Compliance\September Quarter\Reg 31\"/>
    </mc:Choice>
  </mc:AlternateContent>
  <xr:revisionPtr revIDLastSave="0" documentId="13_ncr:1_{2896A467-C90C-41E3-8FFE-8DE594A8594E}" xr6:coauthVersionLast="45" xr6:coauthVersionMax="45" xr10:uidLastSave="{00000000-0000-0000-0000-000000000000}"/>
  <bookViews>
    <workbookView xWindow="-108" yWindow="-108" windowWidth="23256" windowHeight="12576" tabRatio="887" firstSheet="16" activeTab="33" xr2:uid="{00000000-000D-0000-FFFF-FFFF00000000}"/>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r:id="rId9"/>
    <sheet name="Banks" sheetId="4" r:id="rId10"/>
    <sheet name="OtherIND" sheetId="5" state="hidden" r:id="rId11"/>
    <sheet name="Individuals" sheetId="6" r:id="rId12"/>
    <sheet name="Government" sheetId="10" r:id="rId13"/>
    <sheet name="Institutions" sheetId="11" r:id="rId14"/>
    <sheet name="FPIPromoter" sheetId="14" r:id="rId15"/>
    <sheet name="OtherForeign" sheetId="15" r:id="rId16"/>
    <sheet name="MutuaFund" sheetId="16" r:id="rId17"/>
    <sheet name="VentureCap" sheetId="17" r:id="rId18"/>
    <sheet name="AIF" sheetId="18" r:id="rId19"/>
    <sheet name="FVC" sheetId="19" r:id="rId20"/>
    <sheet name="FPI_Insti" sheetId="20" r:id="rId21"/>
    <sheet name="Bank_Insti" sheetId="21" r:id="rId22"/>
    <sheet name="Insurance" sheetId="22" r:id="rId23"/>
    <sheet name="Pension" sheetId="23" r:id="rId24"/>
    <sheet name="Other_Insti" sheetId="24" r:id="rId25"/>
    <sheet name="CG&amp;SG&amp;PI" sheetId="25" r:id="rId26"/>
    <sheet name="Indivisual(aI)" sheetId="26" state="hidden" r:id="rId27"/>
    <sheet name="Indivisual(aII)" sheetId="28" r:id="rId28"/>
    <sheet name="NBFC" sheetId="31" r:id="rId29"/>
    <sheet name="EmpTrust" sheetId="32" r:id="rId30"/>
    <sheet name="OD" sheetId="33" r:id="rId31"/>
    <sheet name="Other_NonInsti" sheetId="34" state="hidden" r:id="rId32"/>
    <sheet name="DRHolder" sheetId="36" r:id="rId33"/>
    <sheet name="EBT" sheetId="38" r:id="rId34"/>
    <sheet name="Unclaimed_Prom" sheetId="41" state="hidden" r:id="rId35"/>
    <sheet name="TextBlock" sheetId="46" state="hidden" r:id="rId36"/>
    <sheet name="PAC_Public" sheetId="42" r:id="rId37"/>
    <sheet name="Unclaimed_Public" sheetId="43"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l="1"/>
  <c r="U15" i="34"/>
  <c r="O15" i="34"/>
  <c r="Q15" i="34" s="1"/>
  <c r="M15" i="34"/>
  <c r="V21" i="26"/>
  <c r="S21" i="26"/>
  <c r="M21" i="26"/>
  <c r="O21" i="26" s="1"/>
  <c r="K21" i="26"/>
  <c r="V20" i="26"/>
  <c r="S20" i="26"/>
  <c r="M20" i="26"/>
  <c r="O20" i="26" s="1"/>
  <c r="K20" i="26"/>
  <c r="S19" i="26"/>
  <c r="M19" i="26"/>
  <c r="O19" i="26" s="1"/>
  <c r="K19" i="26"/>
  <c r="S18" i="26"/>
  <c r="M18" i="26"/>
  <c r="O18" i="26" s="1"/>
  <c r="K18" i="26"/>
  <c r="S17" i="26"/>
  <c r="M17" i="26"/>
  <c r="O17" i="26" s="1"/>
  <c r="K17" i="26"/>
  <c r="S16" i="26"/>
  <c r="M16" i="26"/>
  <c r="O16" i="26" s="1"/>
  <c r="K16" i="26"/>
  <c r="S15" i="26"/>
  <c r="M15" i="26"/>
  <c r="O15" i="26" s="1"/>
  <c r="K15" i="26"/>
  <c r="AD16" i="5"/>
  <c r="Z16" i="5"/>
  <c r="X16" i="5"/>
  <c r="U16" i="5"/>
  <c r="O16" i="5"/>
  <c r="Q16" i="5" s="1"/>
  <c r="M16" i="5"/>
  <c r="AD15" i="5"/>
  <c r="U15" i="5"/>
  <c r="O15" i="5"/>
  <c r="Q15" i="5" s="1"/>
  <c r="M15" i="5"/>
  <c r="X15" i="5" s="1"/>
  <c r="V20" i="2"/>
  <c r="S20" i="2"/>
  <c r="M20" i="2"/>
  <c r="O20" i="2" s="1"/>
  <c r="K20" i="2"/>
  <c r="S19" i="2"/>
  <c r="M19" i="2"/>
  <c r="O19" i="2" s="1"/>
  <c r="K19" i="2"/>
  <c r="X19" i="2" s="1"/>
  <c r="S18" i="2"/>
  <c r="M18" i="2"/>
  <c r="O18" i="2" s="1"/>
  <c r="K18" i="2"/>
  <c r="V18" i="2" s="1"/>
  <c r="S17" i="2"/>
  <c r="M17" i="2"/>
  <c r="O17" i="2" s="1"/>
  <c r="K17" i="2"/>
  <c r="X17" i="2" s="1"/>
  <c r="S16" i="2"/>
  <c r="M16" i="2"/>
  <c r="O16" i="2" s="1"/>
  <c r="K16" i="2"/>
  <c r="X16" i="2" s="1"/>
  <c r="S15" i="2"/>
  <c r="M15" i="2"/>
  <c r="O15" i="2" s="1"/>
  <c r="K15" i="2"/>
  <c r="X15" i="2" s="1"/>
  <c r="V18" i="26" l="1"/>
  <c r="V19" i="26"/>
  <c r="V17" i="26"/>
  <c r="V16" i="26"/>
  <c r="V15" i="26"/>
  <c r="Z15" i="5"/>
  <c r="X20" i="2"/>
  <c r="V19" i="2"/>
  <c r="X18" i="2"/>
  <c r="V17" i="2"/>
  <c r="V16" i="2"/>
  <c r="V15" i="2"/>
  <c r="F16" i="39"/>
  <c r="N40" i="1" l="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22" i="2"/>
  <c r="W22" i="2"/>
  <c r="U22" i="2"/>
  <c r="R22" i="2"/>
  <c r="S14" i="1" s="1"/>
  <c r="Q22" i="2"/>
  <c r="R14" i="1" s="1"/>
  <c r="J22" i="2"/>
  <c r="K14" i="1" s="1"/>
  <c r="I22" i="2"/>
  <c r="J14" i="1" s="1"/>
  <c r="S22" i="2"/>
  <c r="T14" i="1" s="1"/>
  <c r="K22" i="2"/>
  <c r="L14" i="1" l="1"/>
  <c r="X22" i="2"/>
  <c r="V22" i="2"/>
  <c r="J16" i="44"/>
  <c r="K56" i="1"/>
  <c r="J15" i="44" s="1"/>
  <c r="L54" i="1"/>
  <c r="W54" i="1" s="1"/>
  <c r="V16" i="44" s="1"/>
  <c r="J17" i="44"/>
  <c r="L55" i="1"/>
  <c r="S16" i="28"/>
  <c r="K16" i="28"/>
  <c r="V16" i="28" s="1"/>
  <c r="K17" i="44" l="1"/>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T17" i="1"/>
  <c r="S17" i="1"/>
  <c r="P17" i="1"/>
  <c r="O17" i="1"/>
  <c r="L17" i="1"/>
  <c r="K17" i="1"/>
  <c r="J17" i="1"/>
  <c r="L25" i="1" l="1"/>
  <c r="Y23" i="1"/>
  <c r="W23" i="1"/>
  <c r="X25" i="1"/>
  <c r="U14" i="44"/>
  <c r="L50" i="1"/>
  <c r="W50" i="1" s="1"/>
  <c r="V14" i="44" s="1"/>
  <c r="Z18" i="1"/>
  <c r="Z26" i="1" s="1"/>
  <c r="T18" i="1"/>
  <c r="P18" i="1"/>
  <c r="N22" i="2"/>
  <c r="O14" i="1" s="1"/>
  <c r="M22" i="2"/>
  <c r="N14" i="1" s="1"/>
  <c r="H22"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N15" i="34" l="1"/>
  <c r="V15" i="34"/>
  <c r="T20" i="26"/>
  <c r="L20" i="26"/>
  <c r="T18" i="26"/>
  <c r="T16" i="26"/>
  <c r="T15" i="26"/>
  <c r="L18" i="26"/>
  <c r="L21" i="26"/>
  <c r="L15" i="26"/>
  <c r="L19" i="26"/>
  <c r="T19" i="26"/>
  <c r="L16" i="26"/>
  <c r="T21" i="26"/>
  <c r="L17" i="26"/>
  <c r="T17" i="26"/>
  <c r="V16" i="5"/>
  <c r="N16" i="5"/>
  <c r="N15" i="5"/>
  <c r="V15" i="5"/>
  <c r="L20" i="2"/>
  <c r="T20" i="2"/>
  <c r="L19" i="2"/>
  <c r="T19" i="2"/>
  <c r="L18" i="2"/>
  <c r="T18" i="2"/>
  <c r="T17" i="2"/>
  <c r="L17" i="2"/>
  <c r="L16" i="2"/>
  <c r="T16" i="2"/>
  <c r="L15" i="2"/>
  <c r="T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7" i="26" l="1"/>
  <c r="AC17" i="26" s="1"/>
  <c r="P20" i="26"/>
  <c r="AC20" i="26" s="1"/>
  <c r="P18" i="26"/>
  <c r="AC18" i="26" s="1"/>
  <c r="P16" i="26"/>
  <c r="AC16" i="26" s="1"/>
  <c r="P21" i="26"/>
  <c r="AC21" i="26" s="1"/>
  <c r="P19" i="26"/>
  <c r="AC19" i="26" s="1"/>
  <c r="P15" i="26"/>
  <c r="AC15" i="26" s="1"/>
  <c r="R15" i="5"/>
  <c r="AF15" i="5" s="1"/>
  <c r="R16" i="5"/>
  <c r="AF16"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<sst xmlns="http://schemas.openxmlformats.org/spreadsheetml/2006/main" count="3018" uniqueCount="744">
  <si>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</si>
  <si>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</si>
  <si>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</si>
  <si>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</si>
  <si>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</si>
  <si>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</si>
  <si>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</si>
  <si>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</si>
  <si>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</si>
  <si>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</si>
  <si>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</si>
  <si>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</si>
  <si>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</si>
  <si>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</si>
  <si>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</si>
  <si>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</si>
  <si>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</si>
  <si>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</si>
  <si>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</si>
  <si>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</si>
  <si>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</si>
  <si>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</si>
  <si>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</si>
  <si>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</si>
  <si>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</si>
  <si>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</si>
  <si>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</si>
  <si>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</si>
  <si>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</si>
  <si>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</si>
  <si>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</si>
  <si>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</si>
  <si>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</si>
  <si>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</si>
  <si>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</si>
  <si>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</si>
  <si>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</si>
  <si>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</si>
  <si>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</si>
  <si>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</si>
  <si>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</si>
  <si>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</si>
  <si>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</si>
  <si>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</si>
  <si>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</si>
  <si>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</si>
  <si>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</si>
  <si>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</si>
  <si>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</si>
  <si>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</si>
  <si>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</si>
  <si>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</si>
  <si>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</si>
  <si>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</si>
  <si>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</si>
  <si>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</si>
  <si>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</si>
  <si>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</si>
  <si>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</si>
  <si>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</si>
  <si>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</si>
  <si>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</si>
  <si>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</si>
  <si>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</si>
  <si>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</si>
  <si>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</si>
  <si>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</si>
  <si>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</si>
  <si>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</si>
  <si>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</si>
  <si>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</si>
  <si>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</si>
  <si>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</si>
  <si>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</si>
  <si>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</si>
  <si>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</si>
  <si>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</si>
  <si>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</si>
  <si>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</si>
  <si>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</si>
  <si>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</si>
  <si>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</si>
  <si>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</si>
  <si>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</si>
  <si>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</si>
  <si>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</si>
  <si>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</si>
  <si>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</si>
  <si>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</si>
  <si>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</si>
  <si>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</si>
  <si>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</si>
  <si>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</si>
  <si>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</si>
  <si>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</si>
  <si>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</si>
  <si>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</si>
  <si>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</si>
  <si>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</si>
  <si>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</si>
  <si>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</si>
  <si>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</si>
  <si>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</si>
  <si>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</si>
  <si>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</si>
  <si>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</si>
  <si>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</si>
  <si>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</si>
  <si>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</si>
  <si>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</si>
  <si>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</si>
  <si>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</si>
  <si>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</si>
  <si>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</si>
  <si>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</si>
  <si>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</si>
  <si>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</si>
  <si>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</si>
  <si>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</si>
  <si>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</si>
  <si>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</si>
  <si>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</si>
  <si>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</si>
  <si>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</si>
  <si>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</si>
  <si>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</si>
  <si>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</si>
  <si>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</si>
  <si>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</si>
  <si>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</si>
  <si>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</si>
  <si>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</si>
  <si>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</si>
  <si>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</si>
  <si>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</si>
  <si>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</si>
  <si>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</si>
  <si>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</si>
  <si>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</si>
  <si>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</si>
  <si>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</si>
  <si>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</si>
  <si>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</si>
  <si>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</si>
  <si>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</si>
  <si>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</si>
  <si>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</si>
  <si>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</si>
  <si>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</si>
  <si>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</si>
  <si>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</si>
  <si>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</si>
  <si>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</si>
  <si>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</si>
  <si>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</si>
  <si>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</si>
  <si>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</si>
  <si>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</si>
  <si>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</si>
  <si>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</si>
  <si>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</si>
  <si>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</si>
  <si>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</si>
  <si>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</si>
  <si>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</si>
  <si>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</si>
  <si>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</si>
  <si>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</si>
  <si>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</si>
  <si>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</si>
  <si>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</si>
  <si>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</si>
  <si>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</si>
  <si>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</si>
  <si>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</si>
  <si>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</si>
  <si>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</si>
  <si>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</si>
  <si>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</si>
  <si>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</si>
  <si>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</si>
  <si>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</si>
  <si>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</si>
  <si>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</si>
  <si>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</si>
  <si>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</si>
  <si>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</si>
  <si>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</si>
  <si>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</si>
  <si>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</si>
  <si>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</si>
  <si>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</si>
  <si>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</si>
  <si>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</si>
  <si>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</si>
  <si>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</si>
  <si>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</si>
  <si>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</si>
  <si>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</si>
  <si>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</si>
  <si>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</si>
  <si>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</si>
  <si>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</si>
  <si>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</si>
  <si>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</si>
  <si>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</si>
  <si>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</si>
  <si>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</si>
  <si>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</si>
  <si>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</si>
  <si>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</si>
  <si>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</si>
  <si>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</si>
  <si>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</si>
  <si>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</si>
  <si>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</si>
  <si>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</si>
  <si>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</si>
  <si>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</si>
  <si>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</si>
  <si>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</si>
  <si>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</si>
  <si>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</si>
  <si>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</si>
  <si>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</si>
  <si>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</si>
  <si>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</si>
  <si>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</si>
  <si>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</si>
  <si>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</si>
  <si>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</si>
  <si>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</si>
  <si>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</si>
  <si>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</si>
  <si>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</si>
  <si>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</si>
  <si>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</si>
  <si>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</si>
  <si>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</si>
  <si>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</si>
  <si>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</si>
  <si>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</si>
  <si>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</si>
  <si>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</si>
  <si>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</si>
  <si>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</si>
  <si>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</si>
  <si>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</si>
  <si>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</si>
  <si>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</si>
  <si>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</si>
  <si>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</si>
  <si>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</si>
  <si>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</si>
  <si>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</si>
  <si>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</si>
  <si>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</si>
  <si>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</si>
  <si>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</si>
  <si>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</si>
  <si>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</si>
  <si>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</si>
  <si>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</si>
  <si>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</si>
  <si>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</si>
  <si>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</si>
  <si>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</si>
  <si>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</si>
  <si>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</si>
  <si>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</si>
  <si>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</si>
  <si>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</si>
  <si>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</si>
  <si>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</si>
  <si>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</si>
  <si>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</si>
  <si>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</si>
  <si>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</si>
  <si>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</si>
  <si>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</si>
  <si>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</si>
  <si>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</si>
  <si>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</si>
  <si>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</si>
  <si>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</si>
  <si>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</si>
  <si>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</si>
  <si>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</si>
  <si>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</si>
  <si>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</si>
  <si>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</si>
  <si>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</si>
  <si>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</si>
  <si>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</si>
  <si>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</si>
  <si>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</si>
  <si>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</si>
  <si>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</si>
  <si>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</si>
  <si>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</si>
  <si>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</si>
  <si>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</si>
  <si>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</si>
  <si>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</si>
  <si>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</si>
  <si>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</si>
  <si>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</si>
  <si>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</si>
  <si>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</si>
  <si>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</si>
  <si>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</si>
  <si>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</si>
  <si>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</si>
  <si>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</si>
  <si>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</si>
  <si>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</si>
  <si>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</si>
  <si>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</si>
  <si>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</si>
  <si>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</si>
  <si>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</si>
  <si>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</si>
  <si>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</si>
  <si>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</si>
  <si>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</si>
  <si>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</si>
  <si>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</si>
  <si>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</si>
  <si>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</si>
  <si>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</si>
  <si>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</si>
  <si>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</si>
  <si>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</si>
  <si>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</si>
  <si>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</si>
  <si>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</si>
  <si>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</si>
  <si>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</si>
  <si>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</si>
  <si>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</si>
  <si>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</si>
  <si>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</si>
  <si>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</si>
  <si>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</si>
  <si>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</si>
  <si>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</si>
  <si>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</si>
  <si>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</si>
  <si>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</si>
  <si>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</si>
  <si>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</si>
  <si>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</si>
  <si>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</si>
  <si>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</si>
  <si>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</si>
  <si>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</si>
  <si>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</si>
  <si>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</si>
  <si>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</si>
  <si>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</si>
  <si>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</si>
  <si>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</si>
  <si>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</si>
  <si>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</si>
  <si>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</si>
  <si>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</si>
  <si>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</si>
  <si>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</si>
  <si>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</si>
  <si>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</si>
  <si>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</si>
  <si>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</si>
  <si>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</si>
  <si>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</si>
  <si>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</si>
  <si>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</si>
  <si>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</si>
  <si>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</si>
  <si>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</si>
  <si>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</si>
  <si>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</si>
  <si>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</si>
  <si>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</si>
  <si>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</si>
  <si>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</si>
  <si>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</si>
  <si>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</si>
  <si>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</si>
  <si>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</si>
  <si>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</si>
  <si>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</si>
  <si>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</si>
  <si>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</si>
  <si>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</si>
  <si>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</si>
  <si>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</si>
  <si>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</si>
  <si>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</si>
  <si>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</si>
  <si>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</si>
  <si>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</si>
  <si>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</si>
  <si>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</si>
  <si>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</si>
  <si>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</si>
  <si>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</si>
  <si>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</si>
  <si>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</si>
  <si>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</si>
  <si>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</si>
  <si>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</si>
  <si>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</si>
  <si>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</si>
  <si>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</si>
  <si>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</si>
  <si>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</si>
  <si>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</si>
  <si>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</si>
  <si>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</si>
  <si>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</si>
  <si>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</si>
  <si>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</si>
  <si>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</si>
  <si>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</si>
  <si>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</si>
  <si>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</si>
  <si>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</si>
  <si>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</si>
  <si>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</si>
  <si>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</si>
  <si>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</si>
  <si>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</si>
  <si>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</si>
  <si>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</si>
  <si>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</si>
  <si>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</si>
  <si>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</si>
  <si>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</si>
  <si>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</si>
  <si>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</si>
  <si>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</si>
  <si>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</si>
  <si>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</si>
  <si>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</si>
  <si>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</si>
  <si>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</si>
  <si>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</si>
  <si>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</si>
  <si>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</si>
  <si>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</si>
  <si>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</si>
  <si>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</si>
  <si>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</si>
  <si>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</si>
  <si>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</si>
  <si>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</si>
  <si>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</si>
  <si>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</si>
  <si>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</si>
  <si>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</si>
  <si>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</si>
  <si>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</si>
  <si>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</si>
  <si>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</si>
  <si>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</si>
  <si>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</si>
  <si>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</si>
  <si>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</si>
  <si>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</si>
  <si>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</si>
  <si>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</si>
  <si>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</si>
  <si>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</si>
  <si>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</si>
  <si>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</si>
  <si>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</si>
  <si>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</si>
  <si>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</si>
  <si>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</si>
  <si>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</si>
  <si>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</si>
  <si>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</si>
  <si>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</si>
  <si>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</si>
  <si>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</si>
  <si>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</si>
  <si>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</si>
  <si>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</si>
  <si>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</si>
  <si>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</si>
  <si>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</si>
  <si>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</si>
  <si>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</si>
  <si>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</si>
  <si>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</si>
  <si>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</si>
  <si>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</si>
  <si>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</si>
  <si>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</si>
  <si>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</si>
  <si>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</si>
  <si>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</si>
  <si>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</si>
  <si>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</si>
  <si>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</si>
  <si>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</si>
  <si>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</si>
  <si>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</si>
  <si>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</si>
  <si>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</si>
  <si>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</si>
  <si>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</si>
  <si>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</si>
  <si>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</si>
  <si>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</si>
  <si>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</si>
  <si>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</si>
  <si>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</si>
  <si>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</si>
  <si>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</si>
  <si>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</si>
  <si>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</si>
  <si>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</si>
  <si>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</si>
  <si>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</si>
  <si>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</si>
  <si>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</si>
  <si>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</si>
  <si>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</si>
  <si>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</si>
  <si>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</si>
  <si>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</si>
  <si>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</si>
  <si>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</si>
  <si>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</si>
  <si>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</si>
  <si>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</si>
  <si>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</si>
  <si>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</si>
  <si>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</si>
  <si>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</si>
  <si>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</si>
  <si>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</si>
  <si>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</si>
  <si>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</si>
  <si>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</si>
  <si>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</si>
  <si>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</si>
  <si>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</si>
  <si>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</si>
  <si>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</si>
  <si>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</si>
  <si>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</si>
  <si>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</si>
  <si>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</si>
  <si>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</si>
  <si>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</si>
  <si>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</si>
  <si>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</si>
  <si>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</si>
  <si>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</si>
  <si>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</si>
  <si>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</si>
  <si>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</si>
  <si>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</si>
  <si>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</si>
  <si>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</si>
  <si>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</si>
  <si>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</si>
  <si>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</si>
  <si>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</si>
  <si>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</si>
  <si>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</si>
  <si>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</si>
  <si>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</si>
  <si>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</si>
  <si>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</si>
  <si>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</si>
  <si>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</si>
  <si>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</si>
  <si>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</si>
  <si>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</si>
  <si>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</si>
  <si>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</si>
  <si>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</si>
  <si>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</si>
  <si>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</si>
  <si>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</si>
  <si>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</si>
  <si>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</si>
  <si>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</si>
  <si>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</si>
  <si>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</si>
  <si>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</si>
  <si>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</si>
  <si>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</si>
  <si>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</si>
  <si>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</si>
  <si>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</si>
  <si>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</si>
  <si>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</si>
  <si>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</si>
  <si>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</si>
  <si>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</si>
  <si>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</si>
  <si>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</si>
  <si>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</si>
  <si>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</si>
  <si>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</si>
  <si>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</si>
  <si>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</si>
  <si>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</si>
  <si>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</si>
  <si>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</si>
  <si>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</si>
  <si>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</si>
  <si>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</si>
  <si>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</si>
  <si>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</si>
  <si>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</si>
  <si>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</si>
  <si>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</si>
  <si>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</si>
  <si>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</si>
  <si>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</si>
  <si>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</si>
  <si>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</si>
  <si>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</si>
  <si>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</si>
  <si>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</si>
  <si>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</si>
  <si>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</si>
  <si>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</si>
  <si>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</si>
  <si>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</si>
  <si>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</si>
  <si>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</si>
  <si>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</si>
  <si>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</si>
  <si>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</si>
  <si>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</si>
  <si>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</si>
  <si>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</si>
  <si>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</si>
  <si>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</si>
  <si>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</si>
  <si>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</si>
  <si>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</si>
  <si>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</si>
  <si>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</si>
  <si>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</si>
  <si>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</si>
  <si>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</si>
  <si>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</si>
  <si>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</si>
  <si>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</si>
  <si>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</si>
  <si>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</si>
  <si>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</si>
  <si>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</si>
  <si>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</si>
  <si>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</si>
  <si>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</si>
  <si>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</si>
  <si>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</si>
  <si>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</si>
  <si>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</si>
  <si>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</si>
  <si>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</si>
  <si>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</si>
  <si>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</si>
  <si>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</si>
  <si>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</si>
  <si>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</si>
  <si>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</si>
  <si>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</si>
  <si>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</si>
  <si>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</si>
  <si>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</si>
  <si>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</si>
  <si>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</si>
  <si>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</si>
  <si>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</si>
  <si>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</si>
  <si>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</si>
  <si>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</si>
  <si>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</si>
  <si>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</si>
  <si>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</si>
  <si>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</si>
  <si>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</si>
  <si>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</si>
  <si>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</si>
  <si>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</si>
  <si>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</si>
  <si>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</si>
  <si>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</si>
  <si>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</si>
  <si>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</si>
  <si>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</si>
  <si>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</si>
  <si>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</si>
  <si>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</si>
  <si>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</si>
  <si>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</si>
  <si>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</si>
  <si>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</si>
  <si>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</si>
  <si>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</si>
  <si>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</si>
  <si>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BHAVIN NITIN MEHTA</t>
  </si>
  <si>
    <t>AABPM2843E</t>
  </si>
  <si>
    <t>PURVI  B  MEHTA</t>
  </si>
  <si>
    <t>AACPB2616H</t>
  </si>
  <si>
    <t>NITIN K. MEHTA HUF</t>
  </si>
  <si>
    <t>AABHN8686A</t>
  </si>
  <si>
    <t>ANSHUL  N  MEHTA</t>
  </si>
  <si>
    <t>AABPM2842F</t>
  </si>
  <si>
    <t>BHARATI NITIN MEHTA</t>
  </si>
  <si>
    <t>AABPM9935B</t>
  </si>
  <si>
    <t>NITIN KALIDAS MEHTA</t>
  </si>
  <si>
    <t>AABPM9937D</t>
  </si>
  <si>
    <t>TYCARATI JEWELLERY PRIVATE LIMITED</t>
  </si>
  <si>
    <t>AABCG2125Q</t>
  </si>
  <si>
    <t>INDIA SHOPPING MALL . COM . PVT  LT</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</si>
  <si>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</si>
  <si>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</si>
  <si>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</si>
  <si>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</si>
  <si>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</si>
  <si>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</si>
  <si>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</si>
  <si>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</si>
  <si>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</si>
  <si>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</si>
  <si>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</si>
  <si>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</si>
  <si>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</si>
  <si>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</si>
  <si>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</si>
  <si>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</si>
  <si>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</si>
  <si>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 xml:space="preserve">Anshuni Commercials Ltd                 </t>
  </si>
  <si>
    <t>30-09-2020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</si>
</sst>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4">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49" fontId="0" fillId="13" borderId="18" xfId="0" applyNumberFormat="1" applyFill="1" applyBorder="1" applyAlignment="1" applyProtection="1">
      <alignment horizontal="center" vertical="center"/>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Protection="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68580</xdr:colOff>
          <xdr:row>14</xdr:row>
          <xdr:rowOff>68580</xdr:rowOff>
        </xdr:from>
        <xdr:to>
          <xdr:col>25</xdr:col>
          <xdr:colOff>1135380</xdr:colOff>
          <xdr:row>14</xdr:row>
          <xdr:rowOff>266700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15</xdr:row>
          <xdr:rowOff>68580</xdr:rowOff>
        </xdr:from>
        <xdr:to>
          <xdr:col>25</xdr:col>
          <xdr:colOff>1135380</xdr:colOff>
          <xdr:row>15</xdr:row>
          <xdr:rowOff>266700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16</xdr:row>
          <xdr:rowOff>68580</xdr:rowOff>
        </xdr:from>
        <xdr:to>
          <xdr:col>25</xdr:col>
          <xdr:colOff>1135380</xdr:colOff>
          <xdr:row>16</xdr:row>
          <xdr:rowOff>266700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17</xdr:row>
          <xdr:rowOff>68580</xdr:rowOff>
        </xdr:from>
        <xdr:to>
          <xdr:col>25</xdr:col>
          <xdr:colOff>1135380</xdr:colOff>
          <xdr:row>17</xdr:row>
          <xdr:rowOff>266700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18</xdr:row>
          <xdr:rowOff>68580</xdr:rowOff>
        </xdr:from>
        <xdr:to>
          <xdr:col>25</xdr:col>
          <xdr:colOff>1135380</xdr:colOff>
          <xdr:row>18</xdr:row>
          <xdr:rowOff>266700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19</xdr:row>
          <xdr:rowOff>68580</xdr:rowOff>
        </xdr:from>
        <xdr:to>
          <xdr:col>25</xdr:col>
          <xdr:colOff>1135380</xdr:colOff>
          <xdr:row>19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68580</xdr:colOff>
          <xdr:row>14</xdr:row>
          <xdr:rowOff>68580</xdr:rowOff>
        </xdr:from>
        <xdr:to>
          <xdr:col>27</xdr:col>
          <xdr:colOff>1219200</xdr:colOff>
          <xdr:row>14</xdr:row>
          <xdr:rowOff>266700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68580</xdr:colOff>
          <xdr:row>15</xdr:row>
          <xdr:rowOff>68580</xdr:rowOff>
        </xdr:from>
        <xdr:to>
          <xdr:col>27</xdr:col>
          <xdr:colOff>1219200</xdr:colOff>
          <xdr:row>15</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68580</xdr:colOff>
          <xdr:row>14</xdr:row>
          <xdr:rowOff>68580</xdr:rowOff>
        </xdr:from>
        <xdr:to>
          <xdr:col>23</xdr:col>
          <xdr:colOff>1264920</xdr:colOff>
          <xdr:row>14</xdr:row>
          <xdr:rowOff>266700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15</xdr:row>
          <xdr:rowOff>68580</xdr:rowOff>
        </xdr:from>
        <xdr:to>
          <xdr:col>23</xdr:col>
          <xdr:colOff>1264920</xdr:colOff>
          <xdr:row>15</xdr:row>
          <xdr:rowOff>266700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A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16</xdr:row>
          <xdr:rowOff>68580</xdr:rowOff>
        </xdr:from>
        <xdr:to>
          <xdr:col>23</xdr:col>
          <xdr:colOff>1264920</xdr:colOff>
          <xdr:row>16</xdr:row>
          <xdr:rowOff>266700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A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17</xdr:row>
          <xdr:rowOff>68580</xdr:rowOff>
        </xdr:from>
        <xdr:to>
          <xdr:col>23</xdr:col>
          <xdr:colOff>1264920</xdr:colOff>
          <xdr:row>17</xdr:row>
          <xdr:rowOff>266700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A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18</xdr:row>
          <xdr:rowOff>68580</xdr:rowOff>
        </xdr:from>
        <xdr:to>
          <xdr:col>23</xdr:col>
          <xdr:colOff>1264920</xdr:colOff>
          <xdr:row>18</xdr:row>
          <xdr:rowOff>266700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A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19</xdr:row>
          <xdr:rowOff>68580</xdr:rowOff>
        </xdr:from>
        <xdr:to>
          <xdr:col>23</xdr:col>
          <xdr:colOff>1264920</xdr:colOff>
          <xdr:row>19</xdr:row>
          <xdr:rowOff>266700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A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20</xdr:row>
          <xdr:rowOff>68580</xdr:rowOff>
        </xdr:from>
        <xdr:to>
          <xdr:col>23</xdr:col>
          <xdr:colOff>1264920</xdr:colOff>
          <xdr:row>20</xdr:row>
          <xdr:rowOff>266700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A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68580</xdr:colOff>
          <xdr:row>14</xdr:row>
          <xdr:rowOff>68580</xdr:rowOff>
        </xdr:from>
        <xdr:to>
          <xdr:col>25</xdr:col>
          <xdr:colOff>1325880</xdr:colOff>
          <xdr:row>14</xdr:row>
          <xdr:rowOff>266700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A1:M68"/>
  <sheetViews>
    <sheetView showGridLines="0" workbookViewId="0">
      <selection activeCell="D50" sqref="D50:J50"/>
    </sheetView>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66"/>
    </row>
    <row r="3" spans="4:10" ht="14.4">
      <c r="I3" s="266"/>
    </row>
    <row r="4" spans="4:10" ht="14.4">
      <c r="I4" s="266"/>
    </row>
    <row r="5" spans="4:10" ht="14.4">
      <c r="I5" s="266"/>
    </row>
    <row r="6" spans="4:10" ht="14.4">
      <c r="E6" s="424" t="s">
        <v>454</v>
      </c>
      <c r="F6" s="425"/>
      <c r="G6" s="425"/>
      <c r="H6" s="425"/>
      <c r="I6" s="426"/>
    </row>
    <row r="7" spans="4:10" ht="14.4">
      <c r="E7" s="267" t="s">
        <v>455</v>
      </c>
      <c r="F7" s="427" t="s">
        <v>456</v>
      </c>
      <c r="G7" s="428"/>
      <c r="H7" s="428"/>
      <c r="I7" s="429"/>
    </row>
    <row r="8" spans="4:10" ht="14.4">
      <c r="E8" s="267" t="s">
        <v>457</v>
      </c>
      <c r="F8" s="427" t="s">
        <v>458</v>
      </c>
      <c r="G8" s="430"/>
      <c r="H8" s="430"/>
      <c r="I8" s="431"/>
    </row>
    <row r="9" spans="4:10" ht="14.4">
      <c r="E9" s="267" t="s">
        <v>459</v>
      </c>
      <c r="F9" s="427" t="s">
        <v>460</v>
      </c>
      <c r="G9" s="430"/>
      <c r="H9" s="430"/>
      <c r="I9" s="431"/>
    </row>
    <row r="10" spans="4:10" ht="14.4">
      <c r="E10" s="267" t="s">
        <v>461</v>
      </c>
      <c r="F10" s="427" t="s">
        <v>641</v>
      </c>
      <c r="G10" s="430"/>
      <c r="H10" s="430"/>
      <c r="I10" s="431"/>
    </row>
    <row r="11" spans="4:10" ht="14.4">
      <c r="E11" s="267" t="s">
        <v>640</v>
      </c>
      <c r="F11" s="427" t="s">
        <v>489</v>
      </c>
      <c r="G11" s="430"/>
      <c r="H11" s="430"/>
      <c r="I11" s="431"/>
    </row>
    <row r="12" spans="4:10" ht="14.4">
      <c r="E12" s="267" t="s">
        <v>644</v>
      </c>
      <c r="F12" s="427" t="s">
        <v>645</v>
      </c>
      <c r="G12" s="430"/>
      <c r="H12" s="430"/>
      <c r="I12" s="431"/>
    </row>
    <row r="13" spans="4:10" ht="14.4">
      <c r="I13" s="266"/>
    </row>
    <row r="14" spans="4:10" ht="14.4">
      <c r="I14" s="266"/>
    </row>
    <row r="15" spans="4:10" ht="14.4">
      <c r="D15" s="432" t="s">
        <v>462</v>
      </c>
      <c r="E15" s="433"/>
      <c r="F15" s="433"/>
      <c r="G15" s="433"/>
      <c r="H15" s="433"/>
      <c r="I15" s="433"/>
      <c r="J15" s="434"/>
    </row>
    <row r="16" spans="4:10" ht="27.75" customHeight="1">
      <c r="D16" s="435" t="s">
        <v>463</v>
      </c>
      <c r="E16" s="435"/>
      <c r="F16" s="435"/>
      <c r="G16" s="435"/>
      <c r="H16" s="435"/>
      <c r="I16" s="435"/>
      <c r="J16" s="435"/>
    </row>
    <row r="17" spans="4:10" ht="45" customHeight="1">
      <c r="D17" s="436" t="s">
        <v>464</v>
      </c>
      <c r="E17" s="436"/>
      <c r="F17" s="436"/>
      <c r="G17" s="436"/>
      <c r="H17" s="436"/>
      <c r="I17" s="436"/>
      <c r="J17" s="436"/>
    </row>
    <row r="18" spans="4:10" ht="14.4">
      <c r="D18" s="268"/>
      <c r="E18" s="268"/>
      <c r="F18" s="268"/>
      <c r="G18" s="268"/>
      <c r="H18" s="268"/>
      <c r="I18" s="269"/>
      <c r="J18" s="268"/>
    </row>
    <row r="19" spans="4:10" ht="14.4">
      <c r="I19" s="266"/>
    </row>
    <row r="20" spans="4:10" ht="15.6">
      <c r="D20" s="415" t="s">
        <v>465</v>
      </c>
      <c r="E20" s="416"/>
      <c r="F20" s="416"/>
      <c r="G20" s="416"/>
      <c r="H20" s="416"/>
      <c r="I20" s="416"/>
      <c r="J20" s="417"/>
    </row>
    <row r="21" spans="4:10" ht="18" customHeight="1">
      <c r="D21" s="437" t="s">
        <v>466</v>
      </c>
      <c r="E21" s="438"/>
      <c r="F21" s="438"/>
      <c r="G21" s="438"/>
      <c r="H21" s="438"/>
      <c r="I21" s="438"/>
      <c r="J21" s="439"/>
    </row>
    <row r="22" spans="4:10" ht="16.5" customHeight="1">
      <c r="D22" s="440" t="s">
        <v>467</v>
      </c>
      <c r="E22" s="441"/>
      <c r="F22" s="441"/>
      <c r="G22" s="441"/>
      <c r="H22" s="441"/>
      <c r="I22" s="441"/>
      <c r="J22" s="442"/>
    </row>
    <row r="23" spans="4:10" ht="16.5" customHeight="1">
      <c r="D23" s="401" t="s">
        <v>468</v>
      </c>
      <c r="E23" s="402"/>
      <c r="F23" s="402"/>
      <c r="G23" s="402"/>
      <c r="H23" s="402"/>
      <c r="I23" s="402"/>
      <c r="J23" s="403"/>
    </row>
    <row r="24" spans="4:10" ht="18.75" customHeight="1">
      <c r="D24" s="401" t="s">
        <v>469</v>
      </c>
      <c r="E24" s="402"/>
      <c r="F24" s="402"/>
      <c r="G24" s="402"/>
      <c r="H24" s="402"/>
      <c r="I24" s="402"/>
      <c r="J24" s="403"/>
    </row>
    <row r="25" spans="4:10" ht="28.5" customHeight="1">
      <c r="D25" s="404" t="s">
        <v>470</v>
      </c>
      <c r="E25" s="405"/>
      <c r="F25" s="405"/>
      <c r="G25" s="405"/>
      <c r="H25" s="405"/>
      <c r="I25" s="405"/>
      <c r="J25" s="406"/>
    </row>
    <row r="26" spans="4:10" ht="14.4">
      <c r="I26" s="266"/>
    </row>
    <row r="27" spans="4:10" ht="14.4">
      <c r="I27" s="266"/>
    </row>
    <row r="28" spans="4:10" ht="15.6">
      <c r="D28" s="421" t="s">
        <v>471</v>
      </c>
      <c r="E28" s="422"/>
      <c r="F28" s="422"/>
      <c r="G28" s="422"/>
      <c r="H28" s="422"/>
      <c r="I28" s="422"/>
      <c r="J28" s="423"/>
    </row>
    <row r="29" spans="4:10" ht="14.4">
      <c r="D29" s="270">
        <v>1</v>
      </c>
      <c r="E29" s="413" t="s">
        <v>472</v>
      </c>
      <c r="F29" s="414"/>
      <c r="G29" s="414"/>
      <c r="H29" s="414"/>
      <c r="I29" s="414"/>
      <c r="J29" s="273" t="s">
        <v>473</v>
      </c>
    </row>
    <row r="30" spans="4:10" ht="14.4">
      <c r="D30" s="270">
        <v>2</v>
      </c>
      <c r="E30" s="413" t="s">
        <v>490</v>
      </c>
      <c r="F30" s="414"/>
      <c r="G30" s="414"/>
      <c r="H30" s="414"/>
      <c r="I30" s="414"/>
      <c r="J30" s="273" t="s">
        <v>490</v>
      </c>
    </row>
    <row r="31" spans="4:10" ht="14.4">
      <c r="D31" s="270">
        <v>3</v>
      </c>
      <c r="E31" s="413" t="s">
        <v>491</v>
      </c>
      <c r="F31" s="414"/>
      <c r="G31" s="414"/>
      <c r="H31" s="414"/>
      <c r="I31" s="414"/>
      <c r="J31" s="273" t="s">
        <v>491</v>
      </c>
    </row>
    <row r="32" spans="4:10" ht="14.4">
      <c r="D32" s="270">
        <v>4</v>
      </c>
      <c r="E32" s="413" t="s">
        <v>492</v>
      </c>
      <c r="F32" s="414"/>
      <c r="G32" s="414"/>
      <c r="H32" s="414"/>
      <c r="I32" s="414"/>
      <c r="J32" s="273" t="s">
        <v>492</v>
      </c>
    </row>
    <row r="33" spans="4:10" ht="14.4">
      <c r="D33" s="271"/>
      <c r="E33" s="271"/>
      <c r="F33" s="271"/>
      <c r="G33" s="271"/>
      <c r="H33" s="271"/>
      <c r="I33" s="272"/>
      <c r="J33" s="271"/>
    </row>
    <row r="34" spans="4:10" ht="14.4">
      <c r="D34" s="271"/>
      <c r="E34" s="271"/>
      <c r="F34" s="271"/>
      <c r="G34" s="271"/>
      <c r="H34" s="271"/>
      <c r="I34" s="272"/>
      <c r="J34" s="271"/>
    </row>
    <row r="35" spans="4:10" ht="15.6">
      <c r="D35" s="415" t="s">
        <v>638</v>
      </c>
      <c r="E35" s="416"/>
      <c r="F35" s="416"/>
      <c r="G35" s="416"/>
      <c r="H35" s="416"/>
      <c r="I35" s="416"/>
      <c r="J35" s="417"/>
    </row>
    <row r="36" spans="4:10" ht="30" customHeight="1">
      <c r="D36" s="418" t="s">
        <v>639</v>
      </c>
      <c r="E36" s="419"/>
      <c r="F36" s="419"/>
      <c r="G36" s="419"/>
      <c r="H36" s="419"/>
      <c r="I36" s="419"/>
      <c r="J36" s="420"/>
    </row>
    <row r="37" spans="4:10" ht="14.4">
      <c r="D37" s="271"/>
      <c r="E37" s="271"/>
      <c r="F37" s="271"/>
      <c r="G37" s="271"/>
      <c r="H37" s="271"/>
      <c r="I37" s="272"/>
      <c r="J37" s="271"/>
    </row>
    <row r="38" spans="4:10" ht="14.4">
      <c r="D38" s="271"/>
      <c r="E38" s="271"/>
      <c r="F38" s="271"/>
      <c r="G38" s="271"/>
      <c r="H38" s="271"/>
      <c r="I38" s="272"/>
      <c r="J38" s="271"/>
    </row>
    <row r="39" spans="4:10" ht="14.4">
      <c r="I39" s="266"/>
    </row>
    <row r="40" spans="4:10" ht="18" customHeight="1">
      <c r="D40" s="415" t="s">
        <v>642</v>
      </c>
      <c r="E40" s="416"/>
      <c r="F40" s="416"/>
      <c r="G40" s="416"/>
      <c r="H40" s="416"/>
      <c r="I40" s="416"/>
      <c r="J40" s="417"/>
    </row>
    <row r="41" spans="4:10" ht="60" customHeight="1">
      <c r="D41" s="447" t="s">
        <v>493</v>
      </c>
      <c r="E41" s="448"/>
      <c r="F41" s="448"/>
      <c r="G41" s="448"/>
      <c r="H41" s="448"/>
      <c r="I41" s="448"/>
      <c r="J41" s="449"/>
    </row>
    <row r="42" spans="4:10" ht="49.5" customHeight="1">
      <c r="D42" s="450" t="s">
        <v>474</v>
      </c>
      <c r="E42" s="451"/>
      <c r="F42" s="451"/>
      <c r="G42" s="451"/>
      <c r="H42" s="451"/>
      <c r="I42" s="451"/>
      <c r="J42" s="452"/>
    </row>
    <row r="43" spans="4:10" ht="53.25" customHeight="1">
      <c r="D43" s="450" t="s">
        <v>475</v>
      </c>
      <c r="E43" s="451"/>
      <c r="F43" s="451"/>
      <c r="G43" s="451"/>
      <c r="H43" s="451"/>
      <c r="I43" s="451"/>
      <c r="J43" s="452"/>
    </row>
    <row r="44" spans="4:10" ht="30" customHeight="1">
      <c r="D44" s="437" t="s">
        <v>476</v>
      </c>
      <c r="E44" s="453"/>
      <c r="F44" s="453"/>
      <c r="G44" s="453"/>
      <c r="H44" s="453"/>
      <c r="I44" s="453"/>
      <c r="J44" s="454"/>
    </row>
    <row r="45" spans="4:10" ht="56.25" customHeight="1">
      <c r="D45" s="407" t="s">
        <v>477</v>
      </c>
      <c r="E45" s="408"/>
      <c r="F45" s="408"/>
      <c r="G45" s="408"/>
      <c r="H45" s="408"/>
      <c r="I45" s="408"/>
      <c r="J45" s="409"/>
    </row>
    <row r="46" spans="4:10" ht="84.75" customHeight="1">
      <c r="D46" s="407" t="s">
        <v>478</v>
      </c>
      <c r="E46" s="408"/>
      <c r="F46" s="408"/>
      <c r="G46" s="408"/>
      <c r="H46" s="408"/>
      <c r="I46" s="408"/>
      <c r="J46" s="409"/>
    </row>
    <row r="47" spans="4:10" ht="61.5" customHeight="1">
      <c r="D47" s="410" t="s">
        <v>479</v>
      </c>
      <c r="E47" s="411"/>
      <c r="F47" s="411"/>
      <c r="G47" s="411"/>
      <c r="H47" s="411"/>
      <c r="I47" s="411"/>
      <c r="J47" s="412"/>
    </row>
    <row r="48" spans="4:10" ht="14.4">
      <c r="I48" s="266"/>
    </row>
    <row r="49" spans="4:10" ht="14.4">
      <c r="I49" s="266"/>
    </row>
    <row r="50" spans="4:10" ht="15.6">
      <c r="D50" s="421" t="s">
        <v>643</v>
      </c>
      <c r="E50" s="422"/>
      <c r="F50" s="422"/>
      <c r="G50" s="422"/>
      <c r="H50" s="422"/>
      <c r="I50" s="422"/>
      <c r="J50" s="423"/>
    </row>
    <row r="51" spans="4:10" ht="20.100000000000001" customHeight="1">
      <c r="D51" s="444" t="s">
        <v>480</v>
      </c>
      <c r="E51" s="444"/>
      <c r="F51" s="444"/>
      <c r="G51" s="444"/>
      <c r="H51" s="444"/>
      <c r="I51" s="444"/>
      <c r="J51" s="444"/>
    </row>
    <row r="52" spans="4:10" ht="20.100000000000001" customHeight="1">
      <c r="D52" s="444" t="s">
        <v>481</v>
      </c>
      <c r="E52" s="444"/>
      <c r="F52" s="444"/>
      <c r="G52" s="444"/>
      <c r="H52" s="444"/>
      <c r="I52" s="444"/>
      <c r="J52" s="444"/>
    </row>
    <row r="53" spans="4:10" ht="20.100000000000001" customHeight="1">
      <c r="D53" s="444" t="s">
        <v>482</v>
      </c>
      <c r="E53" s="444"/>
      <c r="F53" s="444"/>
      <c r="G53" s="444"/>
      <c r="H53" s="444"/>
      <c r="I53" s="444"/>
      <c r="J53" s="444"/>
    </row>
    <row r="54" spans="4:10" ht="42" customHeight="1">
      <c r="D54" s="444" t="s">
        <v>483</v>
      </c>
      <c r="E54" s="444"/>
      <c r="F54" s="444"/>
      <c r="G54" s="444"/>
      <c r="H54" s="444"/>
      <c r="I54" s="444"/>
      <c r="J54" s="444"/>
    </row>
    <row r="55" spans="4:10" ht="38.25" customHeight="1">
      <c r="D55" s="444" t="s">
        <v>484</v>
      </c>
      <c r="E55" s="444"/>
      <c r="F55" s="444"/>
      <c r="G55" s="444"/>
      <c r="H55" s="444"/>
      <c r="I55" s="444"/>
      <c r="J55" s="444"/>
    </row>
    <row r="56" spans="4:10" ht="38.25" customHeight="1">
      <c r="D56" s="445" t="s">
        <v>485</v>
      </c>
      <c r="E56" s="444"/>
      <c r="F56" s="444"/>
      <c r="G56" s="444"/>
      <c r="H56" s="444"/>
      <c r="I56" s="444"/>
      <c r="J56" s="444"/>
    </row>
    <row r="57" spans="4:10" ht="38.25" customHeight="1">
      <c r="D57" s="445" t="s">
        <v>486</v>
      </c>
      <c r="E57" s="444"/>
      <c r="F57" s="444"/>
      <c r="G57" s="444"/>
      <c r="H57" s="444"/>
      <c r="I57" s="444"/>
      <c r="J57" s="444"/>
    </row>
    <row r="58" spans="4:10" ht="25.5" customHeight="1">
      <c r="D58" s="446" t="s">
        <v>487</v>
      </c>
      <c r="E58" s="443"/>
      <c r="F58" s="443"/>
      <c r="G58" s="443"/>
      <c r="H58" s="443"/>
      <c r="I58" s="443"/>
      <c r="J58" s="443"/>
    </row>
    <row r="59" spans="4:10" ht="27.75" customHeight="1">
      <c r="D59" s="443" t="s">
        <v>488</v>
      </c>
      <c r="E59" s="443"/>
      <c r="F59" s="443"/>
      <c r="G59" s="443"/>
      <c r="H59" s="443"/>
      <c r="I59" s="443"/>
      <c r="J59" s="443"/>
    </row>
    <row r="60" spans="4:10" ht="14.4">
      <c r="I60" s="266"/>
    </row>
    <row r="61" spans="4:10" ht="14.4">
      <c r="I61" s="266"/>
    </row>
    <row r="62" spans="4:10" ht="14.4">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xr:uid="{00000000-0004-0000-0000-000000000000}"/>
    <hyperlink ref="J31" location="Summary!A1" display="Summary" xr:uid="{00000000-0004-0000-0000-000001000000}"/>
    <hyperlink ref="J32" location="'Shareholding Pattern'!A1" display="Shareholding Pattern" xr:uid="{00000000-0004-0000-0000-000002000000}"/>
    <hyperlink ref="J29" location="GeneralInfo!A1" display="General Info" xr:uid="{00000000-0004-0000-0000-000003000000}"/>
    <hyperlink ref="F7:I7" location="Index!D15" display="Overview" xr:uid="{00000000-0004-0000-0000-000004000000}"/>
    <hyperlink ref="F8:I8" location="Index!D20" display="Before you begin" xr:uid="{00000000-0004-0000-0000-000005000000}"/>
    <hyperlink ref="F9:I9" location="Index!D28" display="Index" xr:uid="{00000000-0004-0000-0000-000006000000}"/>
    <hyperlink ref="F12:I12" location="Index!D50" display="Fill up the Shareholding Pattern" xr:uid="{00000000-0004-0000-0000-000007000000}"/>
    <hyperlink ref="F10" location="Index!D34" display="Import XBRL file" xr:uid="{00000000-0004-0000-0000-000008000000}"/>
    <hyperlink ref="F10:I10" location="Index!D35" display="Import XBRL file" xr:uid="{00000000-0004-0000-0000-000009000000}"/>
    <hyperlink ref="F11:I11" location="Index!D40" display="Steps for filing Shareholding Pattern" xr:uid="{00000000-0004-0000-0000-00000A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dimension ref="A1:XFC33"/>
  <sheetViews>
    <sheetView showGridLines="0" topLeftCell="D4" workbookViewId="0">
      <selection activeCell="F8" sqref="F8"/>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7" width="2.6640625" style="18" customWidth="1"/>
    <col min="8" max="16383" width="1.33203125" style="18" hidden="1"/>
    <col min="16384" max="16384" width="4.33203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56" t="s">
        <v>108</v>
      </c>
      <c r="F5" s="457"/>
      <c r="S5" s="18" t="s">
        <v>503</v>
      </c>
    </row>
    <row r="6" spans="5:24" ht="20.100000000000001" customHeight="1">
      <c r="E6" s="19" t="s">
        <v>124</v>
      </c>
      <c r="F6" s="294" t="s">
        <v>740</v>
      </c>
    </row>
    <row r="7" spans="5:24" ht="20.100000000000001" customHeight="1">
      <c r="E7" s="19" t="s">
        <v>508</v>
      </c>
      <c r="F7" s="294" t="s">
        <v>635</v>
      </c>
      <c r="M7" s="18" t="s">
        <v>414</v>
      </c>
      <c r="X7" s="18" t="s">
        <v>111</v>
      </c>
    </row>
    <row r="8" spans="5:24" ht="20.100000000000001" customHeight="1">
      <c r="E8" s="19" t="s">
        <v>509</v>
      </c>
      <c r="F8" s="373"/>
      <c r="M8" s="18" t="s">
        <v>415</v>
      </c>
      <c r="X8" s="18" t="s">
        <v>122</v>
      </c>
    </row>
    <row r="9" spans="5:24" ht="20.100000000000001" customHeight="1">
      <c r="E9" s="19" t="s">
        <v>510</v>
      </c>
      <c r="F9" s="294" t="s">
        <v>741</v>
      </c>
      <c r="M9" s="18" t="s">
        <v>416</v>
      </c>
    </row>
    <row r="10" spans="5:24" ht="20.100000000000001" customHeight="1">
      <c r="E10" s="19" t="s">
        <v>123</v>
      </c>
      <c r="F10" s="294" t="s">
        <v>742</v>
      </c>
      <c r="M10" s="18" t="s">
        <v>504</v>
      </c>
    </row>
    <row r="11" spans="5:24" ht="20.100000000000001" customHeight="1">
      <c r="E11" s="280" t="s">
        <v>500</v>
      </c>
      <c r="F11" s="208" t="s">
        <v>122</v>
      </c>
    </row>
    <row r="12" spans="5:24" ht="20.100000000000001" customHeight="1">
      <c r="E12" s="19" t="s">
        <v>109</v>
      </c>
      <c r="F12" s="326" t="s">
        <v>112</v>
      </c>
    </row>
    <row r="13" spans="5:24" ht="20.100000000000001" customHeight="1">
      <c r="E13" s="19" t="s">
        <v>260</v>
      </c>
      <c r="F13" s="326" t="s">
        <v>116</v>
      </c>
      <c r="R13" s="257"/>
    </row>
    <row r="14" spans="5:24" ht="27" customHeight="1">
      <c r="E14" s="19" t="s">
        <v>501</v>
      </c>
      <c r="F14" s="294" t="s">
        <v>743</v>
      </c>
      <c r="R14" s="258"/>
    </row>
    <row r="15" spans="5:24" ht="36.75" customHeight="1">
      <c r="E15" s="20" t="s">
        <v>110</v>
      </c>
      <c r="F15" s="400"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55"/>
      <c r="F18" s="455"/>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FMktzWDnpAqd+52T8Rx2W6YGKaFRPpBk5PUi09n2TmNKMNOxuCz/142o4rpGUP4LP/Sy5UOyJGHdiVkVslEA9g==" saltValue="s9M4rMZj0LXpEm78SHqbBQ==" spinCount="100000" sheet="1" objects="1" scenarios="1"/>
  <dataConsolidate/>
  <mergeCells count="2">
    <mergeCell ref="E18:F18"/>
    <mergeCell ref="E5:F5"/>
  </mergeCells>
  <dataValidations count="8">
    <dataValidation type="list" allowBlank="1" showInputMessage="1" showErrorMessage="1" sqref="F21:F26" xr:uid="{00000000-0002-0000-0100-000000000000}">
      <formula1>$U$1:$U$2</formula1>
    </dataValidation>
    <dataValidation allowBlank="1" showInputMessage="1" showErrorMessage="1" prompt="Enter date in DD-MM-YYYY format." sqref="F14:F15" xr:uid="{00000000-0002-0000-0100-000001000000}"/>
    <dataValidation type="list" allowBlank="1" showInputMessage="1" showErrorMessage="1" sqref="F12" xr:uid="{00000000-0002-0000-0100-000002000000}">
      <formula1>$R$1:$R$3</formula1>
    </dataValidation>
    <dataValidation type="list" allowBlank="1" showInputMessage="1" showErrorMessage="1" sqref="F13" xr:uid="{00000000-0002-0000-0100-000003000000}">
      <formula1>IF(F11="Yes",yy,pre)</formula1>
    </dataValidation>
    <dataValidation type="textLength" operator="equal" allowBlank="1" showInputMessage="1" showErrorMessage="1" sqref="F6" xr:uid="{00000000-0002-0000-0100-000004000000}">
      <formula1>6</formula1>
    </dataValidation>
    <dataValidation type="list" allowBlank="1" showInputMessage="1" showErrorMessage="1" sqref="F11 F17" xr:uid="{00000000-0002-0000-0100-000005000000}">
      <formula1>$X$7:$X$8</formula1>
    </dataValidation>
    <dataValidation type="custom" allowBlank="1" showInputMessage="1" showErrorMessage="1" sqref="G13" xr:uid="{00000000-0002-0000-0100-000006000000}">
      <formula1>IF(F11="Yes",OFFSET(R1,2,1,2,1),OFFSET(R1,1,2,3,1))</formula1>
    </dataValidation>
    <dataValidation type="textLength" operator="equal" allowBlank="1" showInputMessage="1" showErrorMessage="1" sqref="F9" xr:uid="{00000000-0002-0000-0100-000007000000}">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E9" sqref="E9"/>
    </sheetView>
  </sheetViews>
  <sheetFormatPr defaultColWidth="0" defaultRowHeight="14.4" zeroHeight="1"/>
  <cols>
    <col min="1" max="2" width="2.6640625" style="18" hidden="1" customWidth="1"/>
    <col min="3" max="3" width="2.6640625" style="18" customWidth="1"/>
    <col min="4" max="4" width="6.6640625" style="18" customWidth="1"/>
    <col min="5" max="5" width="72.109375" style="18" customWidth="1"/>
    <col min="6" max="6" width="14.6640625" style="18" customWidth="1"/>
    <col min="7" max="7" width="18.109375" style="18" customWidth="1"/>
    <col min="8" max="8" width="17" style="18" customWidth="1"/>
    <col min="9" max="9" width="17.5546875" style="18" customWidth="1"/>
    <col min="10" max="10" width="4" style="18" customWidth="1"/>
    <col min="11" max="16" width="2.6640625" style="18" hidden="1"/>
    <col min="17" max="16383" width="10.109375" style="18" hidden="1"/>
    <col min="16384" max="16384" width="1"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0" t="s">
        <v>531</v>
      </c>
      <c r="G8" s="327" t="s">
        <v>511</v>
      </c>
      <c r="H8" s="327" t="s">
        <v>512</v>
      </c>
      <c r="I8" s="327" t="s">
        <v>159</v>
      </c>
    </row>
    <row r="9" spans="1:21" ht="20.100000000000001" customHeight="1">
      <c r="D9" s="27">
        <v>1</v>
      </c>
      <c r="E9" s="336" t="s">
        <v>126</v>
      </c>
      <c r="F9" s="207" t="s">
        <v>122</v>
      </c>
      <c r="G9" s="393" t="s">
        <v>122</v>
      </c>
      <c r="H9" s="393" t="s">
        <v>122</v>
      </c>
      <c r="I9" s="393" t="s">
        <v>122</v>
      </c>
      <c r="M9" s="18">
        <v>1</v>
      </c>
      <c r="N9" s="18">
        <v>1</v>
      </c>
      <c r="O9" s="18">
        <v>1</v>
      </c>
      <c r="P9" s="18">
        <v>1</v>
      </c>
      <c r="R9" s="18" t="s">
        <v>553</v>
      </c>
      <c r="S9" s="18" t="s">
        <v>554</v>
      </c>
      <c r="T9" s="18" t="s">
        <v>555</v>
      </c>
      <c r="U9" s="18" t="s">
        <v>556</v>
      </c>
    </row>
    <row r="10" spans="1:21" ht="20.100000000000001" customHeight="1">
      <c r="D10" s="28">
        <v>2</v>
      </c>
      <c r="E10" s="337" t="s">
        <v>127</v>
      </c>
      <c r="F10" s="208" t="s">
        <v>122</v>
      </c>
      <c r="G10" s="394" t="s">
        <v>122</v>
      </c>
      <c r="H10" s="394" t="s">
        <v>122</v>
      </c>
      <c r="I10" s="394" t="s">
        <v>122</v>
      </c>
      <c r="M10" s="18">
        <v>1</v>
      </c>
      <c r="N10" s="18">
        <v>1</v>
      </c>
      <c r="O10" s="18">
        <v>1</v>
      </c>
      <c r="P10" s="18">
        <v>1</v>
      </c>
      <c r="R10" s="18" t="s">
        <v>557</v>
      </c>
      <c r="S10" s="18" t="s">
        <v>558</v>
      </c>
      <c r="T10" s="18" t="s">
        <v>559</v>
      </c>
      <c r="U10" s="18" t="s">
        <v>560</v>
      </c>
    </row>
    <row r="11" spans="1:21" ht="20.100000000000001" customHeight="1">
      <c r="D11" s="28">
        <v>3</v>
      </c>
      <c r="E11" s="337" t="s">
        <v>128</v>
      </c>
      <c r="F11" s="208" t="s">
        <v>122</v>
      </c>
      <c r="G11" s="394" t="s">
        <v>122</v>
      </c>
      <c r="H11" s="394" t="s">
        <v>122</v>
      </c>
      <c r="I11" s="394" t="s">
        <v>122</v>
      </c>
      <c r="M11" s="18">
        <v>1</v>
      </c>
      <c r="N11" s="18">
        <v>1</v>
      </c>
      <c r="O11" s="18">
        <v>1</v>
      </c>
      <c r="P11" s="18">
        <v>1</v>
      </c>
      <c r="R11" s="18" t="s">
        <v>561</v>
      </c>
      <c r="S11" s="18" t="s">
        <v>562</v>
      </c>
      <c r="T11" s="18" t="s">
        <v>563</v>
      </c>
      <c r="U11" s="18" t="s">
        <v>564</v>
      </c>
    </row>
    <row r="12" spans="1:21" ht="28.8">
      <c r="D12" s="28">
        <v>4</v>
      </c>
      <c r="E12" s="337" t="s">
        <v>129</v>
      </c>
      <c r="F12" s="208" t="s">
        <v>122</v>
      </c>
      <c r="G12" s="394" t="s">
        <v>122</v>
      </c>
      <c r="H12" s="394" t="s">
        <v>122</v>
      </c>
      <c r="I12" s="394" t="s">
        <v>122</v>
      </c>
      <c r="M12" s="18">
        <v>1</v>
      </c>
      <c r="N12" s="18">
        <v>1</v>
      </c>
      <c r="O12" s="18">
        <v>1</v>
      </c>
      <c r="P12" s="18">
        <v>1</v>
      </c>
      <c r="R12" s="18" t="s">
        <v>565</v>
      </c>
      <c r="S12" s="18" t="s">
        <v>566</v>
      </c>
      <c r="T12" s="18" t="s">
        <v>567</v>
      </c>
      <c r="U12" s="18" t="s">
        <v>568</v>
      </c>
    </row>
    <row r="13" spans="1:21" ht="21.75" customHeight="1">
      <c r="D13" s="28">
        <v>5</v>
      </c>
      <c r="E13" s="337" t="s">
        <v>130</v>
      </c>
      <c r="F13" s="208" t="s">
        <v>122</v>
      </c>
      <c r="G13" s="394" t="s">
        <v>122</v>
      </c>
      <c r="H13" s="395" t="s">
        <v>122</v>
      </c>
      <c r="I13" s="395"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8" t="s">
        <v>131</v>
      </c>
      <c r="F14" s="330" t="s">
        <v>122</v>
      </c>
      <c r="G14" s="396" t="s">
        <v>122</v>
      </c>
      <c r="H14" s="328"/>
      <c r="I14" s="329"/>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7" t="s">
        <v>439</v>
      </c>
      <c r="F15" s="391"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9" t="s">
        <v>662</v>
      </c>
      <c r="F16" s="392" t="s">
        <v>122</v>
      </c>
      <c r="G16" s="458"/>
      <c r="H16" s="459"/>
      <c r="I16" s="460"/>
      <c r="R16" s="201" t="s">
        <v>662</v>
      </c>
    </row>
  </sheetData>
  <sheetProtection algorithmName="SHA-512" hashValue="u/IvJ3I7RoCUdXVDA0V0eSZkI1FU5nYLamGbQ5C0RSGoCvTYHy7sfbVqGZeMzSx7NcL285xh2gJOMZnA/00ZEQ==" saltValue="azNYwNLfWSRQ+XE/FBAHCw==" spinCount="100000"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1:XFC19"/>
  <sheetViews>
    <sheetView showGridLines="0" topLeftCell="A6" zoomScale="90" zoomScaleNormal="90" workbookViewId="0">
      <selection activeCell="F10" sqref="F10:F12"/>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6" customWidth="1"/>
    <col min="8" max="8" width="24.33203125" customWidth="1"/>
    <col min="9" max="12" width="16.6640625" customWidth="1"/>
    <col min="13" max="13" width="18.88671875" customWidth="1"/>
    <col min="14" max="14" width="20.33203125" style="67" customWidth="1"/>
    <col min="15" max="15" width="22.33203125" style="67" customWidth="1"/>
    <col min="16" max="16" width="17.6640625" customWidth="1"/>
    <col min="17" max="17" width="21.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61" t="s">
        <v>164</v>
      </c>
      <c r="F8" s="462"/>
      <c r="G8" s="462"/>
      <c r="H8" s="462"/>
      <c r="I8" s="462"/>
      <c r="J8" s="462"/>
      <c r="K8" s="462"/>
      <c r="L8" s="462"/>
      <c r="M8" s="462"/>
      <c r="N8" s="462"/>
      <c r="O8" s="462"/>
      <c r="P8" s="462"/>
      <c r="Q8" s="462"/>
      <c r="R8" s="462"/>
      <c r="S8" s="462"/>
      <c r="T8" s="462"/>
      <c r="U8" s="462"/>
      <c r="V8" s="462"/>
      <c r="W8" s="462"/>
      <c r="X8" s="462"/>
      <c r="Y8" s="463"/>
    </row>
    <row r="9" spans="5:25" ht="22.5" customHeight="1">
      <c r="E9" s="471" t="s">
        <v>432</v>
      </c>
      <c r="F9" s="472"/>
      <c r="G9" s="472"/>
      <c r="H9" s="472"/>
      <c r="I9" s="472"/>
      <c r="J9" s="472"/>
      <c r="K9" s="472"/>
      <c r="L9" s="472"/>
      <c r="M9" s="472"/>
      <c r="N9" s="472"/>
      <c r="O9" s="472"/>
      <c r="P9" s="472"/>
      <c r="Q9" s="472"/>
      <c r="R9" s="472"/>
      <c r="S9" s="472"/>
      <c r="T9" s="472"/>
      <c r="U9" s="472"/>
      <c r="V9" s="472"/>
      <c r="W9" s="472"/>
      <c r="X9" s="472"/>
      <c r="Y9" s="473"/>
    </row>
    <row r="10" spans="5:25" ht="27" customHeight="1">
      <c r="E10" s="467" t="s">
        <v>150</v>
      </c>
      <c r="F10" s="467" t="s">
        <v>151</v>
      </c>
      <c r="G10" s="467" t="s">
        <v>2</v>
      </c>
      <c r="H10" s="467" t="s">
        <v>3</v>
      </c>
      <c r="I10" s="467" t="s">
        <v>4</v>
      </c>
      <c r="J10" s="467" t="s">
        <v>5</v>
      </c>
      <c r="K10" s="467" t="s">
        <v>6</v>
      </c>
      <c r="L10" s="467" t="s">
        <v>7</v>
      </c>
      <c r="M10" s="464" t="s">
        <v>152</v>
      </c>
      <c r="N10" s="465"/>
      <c r="O10" s="465"/>
      <c r="P10" s="466"/>
      <c r="Q10" s="467" t="s">
        <v>9</v>
      </c>
      <c r="R10" s="468" t="s">
        <v>505</v>
      </c>
      <c r="S10" s="467" t="s">
        <v>134</v>
      </c>
      <c r="T10" s="467" t="s">
        <v>11</v>
      </c>
      <c r="U10" s="474" t="s">
        <v>12</v>
      </c>
      <c r="V10" s="475"/>
      <c r="W10" s="474" t="s">
        <v>13</v>
      </c>
      <c r="X10" s="475"/>
      <c r="Y10" s="467" t="s">
        <v>14</v>
      </c>
    </row>
    <row r="11" spans="5:25" ht="24" customHeight="1">
      <c r="E11" s="467"/>
      <c r="F11" s="467"/>
      <c r="G11" s="467"/>
      <c r="H11" s="467"/>
      <c r="I11" s="467"/>
      <c r="J11" s="467"/>
      <c r="K11" s="467"/>
      <c r="L11" s="467"/>
      <c r="M11" s="464" t="s">
        <v>386</v>
      </c>
      <c r="N11" s="465"/>
      <c r="O11" s="466"/>
      <c r="P11" s="467" t="s">
        <v>153</v>
      </c>
      <c r="Q11" s="467"/>
      <c r="R11" s="469"/>
      <c r="S11" s="467"/>
      <c r="T11" s="467"/>
      <c r="U11" s="474"/>
      <c r="V11" s="475"/>
      <c r="W11" s="474"/>
      <c r="X11" s="475"/>
      <c r="Y11" s="467"/>
    </row>
    <row r="12" spans="5:25" ht="79.5" customHeight="1">
      <c r="E12" s="467"/>
      <c r="F12" s="467"/>
      <c r="G12" s="467"/>
      <c r="H12" s="467"/>
      <c r="I12" s="467"/>
      <c r="J12" s="467"/>
      <c r="K12" s="467"/>
      <c r="L12" s="467"/>
      <c r="M12" s="65" t="s">
        <v>17</v>
      </c>
      <c r="N12" s="371" t="s">
        <v>18</v>
      </c>
      <c r="O12" s="371" t="s">
        <v>19</v>
      </c>
      <c r="P12" s="467"/>
      <c r="Q12" s="467"/>
      <c r="R12" s="470"/>
      <c r="S12" s="467"/>
      <c r="T12" s="467"/>
      <c r="U12" s="65" t="s">
        <v>20</v>
      </c>
      <c r="V12" s="65" t="s">
        <v>21</v>
      </c>
      <c r="W12" s="65" t="s">
        <v>20</v>
      </c>
      <c r="X12" s="65" t="s">
        <v>21</v>
      </c>
      <c r="Y12" s="467"/>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8">
        <f>+IFERROR(IF(COUNT('Shareholding Pattern'!M26),('Shareholding Pattern'!M26),""),"")</f>
        <v>75</v>
      </c>
      <c r="M13" s="79">
        <f>+IFERROR(IF(COUNT('Shareholding Pattern'!N26),('Shareholding Pattern'!N26),""),"")</f>
        <v>179990</v>
      </c>
      <c r="N13" s="141" t="str">
        <f>+IFERROR(IF(COUNT('Shareholding Pattern'!O26),('Shareholding Pattern'!O26),""),"")</f>
        <v/>
      </c>
      <c r="O13" s="141">
        <f>+IFERROR(IF(COUNT('Shareholding Pattern'!P26),('Shareholding Pattern'!P26),""),"")</f>
        <v>179990</v>
      </c>
      <c r="P13" s="188">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75</v>
      </c>
      <c r="U13" s="78" t="str">
        <f>+IFERROR(IF(COUNT('Shareholding Pattern'!V26),('Shareholding Pattern'!V26),""),"")</f>
        <v/>
      </c>
      <c r="V13" s="188" t="str">
        <f>+IFERROR(IF(COUNT('Shareholding Pattern'!W26),('Shareholding Pattern'!W26),""),"")</f>
        <v/>
      </c>
      <c r="W13" s="78" t="str">
        <f>+IFERROR(IF(COUNT('Shareholding Pattern'!X26),('Shareholding Pattern'!X26),""),"")</f>
        <v/>
      </c>
      <c r="X13" s="188"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8">
        <f>+IFERROR(IF(COUNT('Shareholding Pattern'!M50),('Shareholding Pattern'!M50),""),"")</f>
        <v>25</v>
      </c>
      <c r="M14" s="286">
        <f>+IFERROR(IF(COUNT('Shareholding Pattern'!N50),('Shareholding Pattern'!N50),""),"")</f>
        <v>60010</v>
      </c>
      <c r="N14" s="141" t="str">
        <f>+IFERROR(IF(COUNT('Shareholding Pattern'!O50),('Shareholding Pattern'!O50),""),"")</f>
        <v/>
      </c>
      <c r="O14" s="141">
        <f>+IFERROR(IF(COUNT('Shareholding Pattern'!P50),('Shareholding Pattern'!P50),""),"")</f>
        <v>60010</v>
      </c>
      <c r="P14" s="188">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25</v>
      </c>
      <c r="U14" s="78" t="str">
        <f>+IFERROR(IF(COUNT('Shareholding Pattern'!V50),('Shareholding Pattern'!V50),""),"")</f>
        <v/>
      </c>
      <c r="V14" s="188" t="str">
        <f>+IFERROR(IF(COUNT('Shareholding Pattern'!W50),('Shareholding Pattern'!W50),""),"")</f>
        <v/>
      </c>
      <c r="W14" s="317"/>
      <c r="X14" s="318"/>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2" t="str">
        <f>+IFERROR(IF(COUNT('Shareholding Pattern'!O58),('Shareholding Pattern'!O58),""),"")</f>
        <v/>
      </c>
      <c r="O18" s="372">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t="str">
        <f>+IFERROR(IF(COUNT('Shareholding Pattern'!X58),('Shareholding Pattern'!X58),""),"")</f>
        <v/>
      </c>
      <c r="X18" s="285" t="str">
        <f>+IFERROR(IF(COUNT('Shareholding Pattern'!Y58),('Shareholding Pattern'!Y58),""),"")</f>
        <v/>
      </c>
      <c r="Y18" s="80">
        <f>+IFERROR(IF(COUNT('Shareholding Pattern'!Z58),('Shareholding Pattern'!Z58),""),"")</f>
        <v>239400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3"/>
  <sheetViews>
    <sheetView topLeftCell="A202" workbookViewId="0">
      <selection activeCell="F221" sqref="F221"/>
    </sheetView>
  </sheetViews>
  <sheetFormatPr defaultRowHeight="14.4"/>
  <cols>
    <col min="1" max="1" width="37.33203125" customWidth="1"/>
    <col min="2" max="2" width="55.5546875" customWidth="1"/>
    <col min="3" max="3" width="29.109375" customWidth="1"/>
    <col min="4" max="4" width="15.44140625" customWidth="1"/>
    <col min="5" max="5" width="22" customWidth="1"/>
    <col min="6" max="8" width="9.109375" customWidth="1"/>
    <col min="9" max="9" width="47.44140625" customWidth="1"/>
    <col min="10" max="24" width="9.109375" customWidth="1"/>
    <col min="25" max="25" width="14" customWidth="1"/>
  </cols>
  <sheetData>
    <row r="1" spans="1:5" ht="18">
      <c r="A1" s="331" t="s">
        <v>513</v>
      </c>
      <c r="B1" s="331" t="s">
        <v>251</v>
      </c>
      <c r="C1" s="331" t="s">
        <v>514</v>
      </c>
      <c r="D1" s="331" t="s">
        <v>252</v>
      </c>
      <c r="E1" s="331" t="s">
        <v>610</v>
      </c>
    </row>
    <row r="2" spans="1:5" ht="18">
      <c r="A2" s="341" t="s">
        <v>515</v>
      </c>
      <c r="B2" s="341"/>
      <c r="C2" s="341"/>
      <c r="D2" s="341"/>
      <c r="E2" s="341"/>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
      <c r="A16" s="341" t="s">
        <v>490</v>
      </c>
      <c r="B16" s="341"/>
      <c r="C16" s="341"/>
      <c r="D16" s="341"/>
      <c r="E16" s="341"/>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
      <c r="A45" s="341" t="s">
        <v>492</v>
      </c>
      <c r="B45" s="341"/>
      <c r="C45" s="341"/>
      <c r="D45" s="341"/>
      <c r="E45" s="341"/>
    </row>
    <row r="46" spans="1:5">
      <c r="A46" s="344" t="s">
        <v>301</v>
      </c>
      <c r="B46" t="s">
        <v>184</v>
      </c>
      <c r="C46" t="s">
        <v>274</v>
      </c>
      <c r="D46" t="s">
        <v>254</v>
      </c>
    </row>
    <row r="47" spans="1:5">
      <c r="A47" s="344" t="s">
        <v>302</v>
      </c>
      <c r="B47" t="s">
        <v>185</v>
      </c>
      <c r="C47" t="s">
        <v>274</v>
      </c>
      <c r="D47" t="s">
        <v>254</v>
      </c>
    </row>
    <row r="48" spans="1:5">
      <c r="A48" s="344" t="s">
        <v>303</v>
      </c>
      <c r="B48" t="s">
        <v>186</v>
      </c>
      <c r="C48" t="s">
        <v>274</v>
      </c>
      <c r="D48" t="s">
        <v>254</v>
      </c>
    </row>
    <row r="49" spans="1:4">
      <c r="A49" s="344" t="s">
        <v>304</v>
      </c>
      <c r="B49" t="s">
        <v>187</v>
      </c>
      <c r="C49" t="s">
        <v>274</v>
      </c>
      <c r="D49" t="s">
        <v>254</v>
      </c>
    </row>
    <row r="50" spans="1:4">
      <c r="A50" s="347" t="s">
        <v>300</v>
      </c>
      <c r="B50" s="348" t="s">
        <v>188</v>
      </c>
      <c r="C50" s="348" t="s">
        <v>274</v>
      </c>
      <c r="D50" s="348" t="s">
        <v>254</v>
      </c>
    </row>
    <row r="51" spans="1:4">
      <c r="A51" s="344" t="s">
        <v>306</v>
      </c>
      <c r="B51" t="s">
        <v>189</v>
      </c>
      <c r="C51" t="s">
        <v>274</v>
      </c>
      <c r="D51" t="s">
        <v>254</v>
      </c>
    </row>
    <row r="52" spans="1:4">
      <c r="A52" s="344" t="s">
        <v>614</v>
      </c>
      <c r="B52" t="s">
        <v>190</v>
      </c>
      <c r="C52" t="s">
        <v>274</v>
      </c>
      <c r="D52" t="s">
        <v>254</v>
      </c>
    </row>
    <row r="53" spans="1:4">
      <c r="A53" s="344" t="s">
        <v>615</v>
      </c>
      <c r="B53" t="s">
        <v>192</v>
      </c>
      <c r="C53" t="s">
        <v>274</v>
      </c>
      <c r="D53" t="s">
        <v>254</v>
      </c>
    </row>
    <row r="54" spans="1:4">
      <c r="A54" s="344" t="s">
        <v>616</v>
      </c>
      <c r="B54" t="s">
        <v>191</v>
      </c>
      <c r="C54" t="s">
        <v>274</v>
      </c>
      <c r="D54" t="s">
        <v>254</v>
      </c>
    </row>
    <row r="55" spans="1:4">
      <c r="A55" s="344" t="s">
        <v>307</v>
      </c>
      <c r="B55" t="s">
        <v>193</v>
      </c>
      <c r="C55" t="s">
        <v>274</v>
      </c>
      <c r="D55" t="s">
        <v>254</v>
      </c>
    </row>
    <row r="56" spans="1:4">
      <c r="A56" s="347" t="s">
        <v>305</v>
      </c>
      <c r="B56" s="348" t="s">
        <v>194</v>
      </c>
      <c r="C56" s="348" t="s">
        <v>274</v>
      </c>
      <c r="D56" s="348" t="s">
        <v>254</v>
      </c>
    </row>
    <row r="57" spans="1:4">
      <c r="A57" s="347" t="s">
        <v>608</v>
      </c>
      <c r="B57" s="348" t="s">
        <v>195</v>
      </c>
      <c r="C57" s="348" t="s">
        <v>274</v>
      </c>
      <c r="D57" s="348" t="s">
        <v>254</v>
      </c>
    </row>
    <row r="58" spans="1:4">
      <c r="A58" s="343" t="s">
        <v>309</v>
      </c>
      <c r="B58" t="s">
        <v>310</v>
      </c>
      <c r="C58" t="s">
        <v>274</v>
      </c>
      <c r="D58" t="s">
        <v>254</v>
      </c>
    </row>
    <row r="59" spans="1:4">
      <c r="A59" s="343" t="s">
        <v>311</v>
      </c>
      <c r="B59" t="s">
        <v>196</v>
      </c>
      <c r="C59" t="s">
        <v>274</v>
      </c>
      <c r="D59" t="s">
        <v>254</v>
      </c>
    </row>
    <row r="60" spans="1:4">
      <c r="A60" s="343" t="s">
        <v>312</v>
      </c>
      <c r="B60" t="s">
        <v>197</v>
      </c>
      <c r="C60" t="s">
        <v>274</v>
      </c>
      <c r="D60" t="s">
        <v>254</v>
      </c>
    </row>
    <row r="61" spans="1:4">
      <c r="A61" s="343" t="s">
        <v>313</v>
      </c>
      <c r="B61" t="s">
        <v>198</v>
      </c>
      <c r="C61" t="s">
        <v>274</v>
      </c>
      <c r="D61" t="s">
        <v>254</v>
      </c>
    </row>
    <row r="62" spans="1:4">
      <c r="A62" s="343" t="s">
        <v>314</v>
      </c>
      <c r="B62" t="s">
        <v>199</v>
      </c>
      <c r="C62" t="s">
        <v>274</v>
      </c>
      <c r="D62" t="s">
        <v>254</v>
      </c>
    </row>
    <row r="63" spans="1:4">
      <c r="A63" s="343" t="s">
        <v>315</v>
      </c>
      <c r="B63" t="s">
        <v>200</v>
      </c>
      <c r="C63" t="s">
        <v>274</v>
      </c>
      <c r="D63" t="s">
        <v>254</v>
      </c>
    </row>
    <row r="64" spans="1:4">
      <c r="A64" s="343" t="s">
        <v>316</v>
      </c>
      <c r="B64" t="s">
        <v>201</v>
      </c>
      <c r="C64" t="s">
        <v>274</v>
      </c>
      <c r="D64" t="s">
        <v>254</v>
      </c>
    </row>
    <row r="65" spans="1:4">
      <c r="A65" s="343" t="s">
        <v>317</v>
      </c>
      <c r="B65" t="s">
        <v>202</v>
      </c>
      <c r="C65" t="s">
        <v>274</v>
      </c>
      <c r="D65" t="s">
        <v>254</v>
      </c>
    </row>
    <row r="66" spans="1:4">
      <c r="A66" s="349" t="s">
        <v>318</v>
      </c>
      <c r="B66" s="348" t="s">
        <v>203</v>
      </c>
      <c r="C66" s="348" t="s">
        <v>274</v>
      </c>
      <c r="D66" s="348" t="s">
        <v>254</v>
      </c>
    </row>
    <row r="67" spans="1:4">
      <c r="A67" s="343" t="s">
        <v>308</v>
      </c>
      <c r="B67" t="s">
        <v>204</v>
      </c>
      <c r="C67" t="s">
        <v>274</v>
      </c>
      <c r="D67" t="s">
        <v>254</v>
      </c>
    </row>
    <row r="68" spans="1:4">
      <c r="A68" s="343" t="s">
        <v>319</v>
      </c>
      <c r="B68" t="s">
        <v>205</v>
      </c>
      <c r="C68" t="s">
        <v>274</v>
      </c>
      <c r="D68" t="s">
        <v>254</v>
      </c>
    </row>
    <row r="69" spans="1:4">
      <c r="A69" s="343" t="s">
        <v>430</v>
      </c>
      <c r="B69" t="s">
        <v>431</v>
      </c>
      <c r="C69" t="s">
        <v>274</v>
      </c>
      <c r="D69" t="s">
        <v>254</v>
      </c>
    </row>
    <row r="70" spans="1:4">
      <c r="A70" s="345" t="s">
        <v>321</v>
      </c>
      <c r="B70" t="s">
        <v>206</v>
      </c>
      <c r="C70" t="s">
        <v>274</v>
      </c>
      <c r="D70" t="s">
        <v>254</v>
      </c>
    </row>
    <row r="71" spans="1:4">
      <c r="A71" s="345" t="s">
        <v>322</v>
      </c>
      <c r="B71" t="s">
        <v>207</v>
      </c>
      <c r="C71" t="s">
        <v>274</v>
      </c>
      <c r="D71" t="s">
        <v>254</v>
      </c>
    </row>
    <row r="72" spans="1:4">
      <c r="A72" s="345" t="s">
        <v>323</v>
      </c>
      <c r="B72" t="s">
        <v>208</v>
      </c>
      <c r="C72" t="s">
        <v>274</v>
      </c>
      <c r="D72" t="s">
        <v>254</v>
      </c>
    </row>
    <row r="73" spans="1:4">
      <c r="A73" s="345" t="s">
        <v>324</v>
      </c>
      <c r="B73" t="s">
        <v>209</v>
      </c>
      <c r="C73" t="s">
        <v>274</v>
      </c>
      <c r="D73" t="s">
        <v>254</v>
      </c>
    </row>
    <row r="74" spans="1:4">
      <c r="A74" s="345" t="s">
        <v>325</v>
      </c>
      <c r="B74" t="s">
        <v>210</v>
      </c>
      <c r="C74" t="s">
        <v>274</v>
      </c>
      <c r="D74" t="s">
        <v>254</v>
      </c>
    </row>
    <row r="75" spans="1:4">
      <c r="A75" s="350" t="s">
        <v>326</v>
      </c>
      <c r="B75" s="348" t="s">
        <v>211</v>
      </c>
      <c r="C75" s="348" t="s">
        <v>274</v>
      </c>
      <c r="D75" s="348" t="s">
        <v>254</v>
      </c>
    </row>
    <row r="76" spans="1:4">
      <c r="A76" s="350" t="s">
        <v>320</v>
      </c>
      <c r="B76" s="348" t="s">
        <v>212</v>
      </c>
      <c r="C76" s="348" t="s">
        <v>274</v>
      </c>
      <c r="D76" s="348" t="s">
        <v>254</v>
      </c>
    </row>
    <row r="77" spans="1:4">
      <c r="A77" s="350" t="s">
        <v>275</v>
      </c>
      <c r="B77" s="348" t="s">
        <v>213</v>
      </c>
      <c r="C77" s="348" t="s">
        <v>274</v>
      </c>
      <c r="D77" s="348" t="s">
        <v>254</v>
      </c>
    </row>
    <row r="78" spans="1:4">
      <c r="A78" s="346" t="s">
        <v>276</v>
      </c>
      <c r="B78" t="s">
        <v>214</v>
      </c>
      <c r="C78" t="s">
        <v>274</v>
      </c>
      <c r="D78" t="s">
        <v>254</v>
      </c>
    </row>
    <row r="79" spans="1:4">
      <c r="A79" s="346" t="s">
        <v>277</v>
      </c>
      <c r="B79" t="s">
        <v>215</v>
      </c>
      <c r="C79" t="s">
        <v>274</v>
      </c>
      <c r="D79" t="s">
        <v>254</v>
      </c>
    </row>
    <row r="80" spans="1:4">
      <c r="A80" s="351" t="s">
        <v>327</v>
      </c>
      <c r="B80" s="348" t="s">
        <v>216</v>
      </c>
      <c r="C80" s="348" t="s">
        <v>274</v>
      </c>
      <c r="D80" s="348" t="s">
        <v>254</v>
      </c>
    </row>
    <row r="81" spans="1:5">
      <c r="A81" s="347" t="s">
        <v>609</v>
      </c>
      <c r="B81" s="348" t="s">
        <v>217</v>
      </c>
      <c r="C81" s="348" t="s">
        <v>274</v>
      </c>
      <c r="D81" s="348"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
      <c r="A106" s="341" t="s">
        <v>511</v>
      </c>
      <c r="B106" s="341"/>
      <c r="C106" s="341"/>
      <c r="D106" s="341"/>
      <c r="E106" s="341"/>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
      <c r="A133" s="341" t="s">
        <v>512</v>
      </c>
      <c r="B133" s="341"/>
      <c r="C133" s="341"/>
      <c r="D133" s="341"/>
      <c r="E133" s="341"/>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
      <c r="A157" s="341" t="s">
        <v>518</v>
      </c>
      <c r="B157" s="341"/>
      <c r="C157" s="341"/>
      <c r="D157" s="341"/>
      <c r="E157" s="341"/>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
      <c r="A180" s="341" t="s">
        <v>590</v>
      </c>
      <c r="B180" s="341"/>
      <c r="C180" s="341"/>
      <c r="D180" s="341"/>
      <c r="E180" s="341"/>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
      <c r="A185" s="341" t="s">
        <v>594</v>
      </c>
      <c r="B185" s="341"/>
      <c r="C185" s="341"/>
      <c r="D185" s="341"/>
      <c r="E185" s="341"/>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
      <c r="A190" s="341" t="s">
        <v>597</v>
      </c>
      <c r="B190" s="341"/>
      <c r="C190" s="341"/>
      <c r="D190" s="341"/>
      <c r="E190" s="341"/>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
      <c r="A195" s="341" t="s">
        <v>673</v>
      </c>
      <c r="B195" s="341"/>
      <c r="C195" s="341"/>
      <c r="D195" s="341"/>
      <c r="E195" s="341"/>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1:XFC63"/>
  <sheetViews>
    <sheetView showGridLines="0" topLeftCell="D7" zoomScale="90" zoomScaleNormal="90" workbookViewId="0">
      <pane xSplit="2" ySplit="6" topLeftCell="F49" activePane="bottomRight" state="frozen"/>
      <selection activeCell="D7" sqref="D7"/>
      <selection pane="topRight" activeCell="F7" sqref="F7"/>
      <selection pane="bottomLeft" activeCell="D13" sqref="D13"/>
      <selection pane="bottomRight" activeCell="F14" sqref="F14"/>
    </sheetView>
  </sheetViews>
  <sheetFormatPr defaultColWidth="0" defaultRowHeight="14.4" zeroHeight="1"/>
  <cols>
    <col min="1" max="3" width="2.6640625" hidden="1" customWidth="1"/>
    <col min="4" max="4" width="2.6640625" customWidth="1"/>
    <col min="5" max="5" width="6.5546875" customWidth="1"/>
    <col min="6" max="6" width="46.5546875" customWidth="1"/>
    <col min="7" max="7" width="5.5546875" hidden="1" customWidth="1"/>
    <col min="8" max="8" width="14.88671875" style="143" customWidth="1"/>
    <col min="9" max="10" width="16.6640625" style="143" customWidth="1"/>
    <col min="11" max="12" width="16.6640625" customWidth="1"/>
    <col min="13" max="13" width="16.6640625" style="122" customWidth="1"/>
    <col min="14" max="14" width="19.33203125" style="67" customWidth="1"/>
    <col min="15" max="15" width="18.6640625" style="67" customWidth="1"/>
    <col min="16" max="16" width="16.6640625" style="143" customWidth="1"/>
    <col min="17" max="17" width="16.6640625" style="122" customWidth="1"/>
    <col min="18" max="19" width="16.6640625" style="143" customWidth="1"/>
    <col min="20" max="20" width="18" style="143" customWidth="1"/>
    <col min="21" max="21" width="20.109375" style="67" customWidth="1"/>
    <col min="22" max="22" width="16.6640625" style="67" customWidth="1"/>
    <col min="23" max="23" width="12.33203125" style="67" customWidth="1"/>
    <col min="24" max="24" width="16.6640625" style="143" customWidth="1"/>
    <col min="25" max="25" width="15.44140625" style="67" customWidth="1"/>
    <col min="26" max="26" width="18.44140625" style="143" customWidth="1"/>
    <col min="27" max="27" width="2.6640625" customWidth="1"/>
    <col min="28" max="16382" width="5.5546875" hidden="1"/>
    <col min="16383" max="16383" width="2.88671875" hidden="1"/>
    <col min="16384" max="16384" width="5.5546875" hidden="1"/>
  </cols>
  <sheetData>
    <row r="1" spans="5:58" hidden="1"/>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3" spans="5:58" hidden="1"/>
    <row r="4" spans="5:58" hidden="1"/>
    <row r="5" spans="5:58" hidden="1"/>
    <row r="6" spans="5:58" hidden="1"/>
    <row r="7" spans="5:58" ht="15" customHeight="1"/>
    <row r="8" spans="5:58" ht="11.25" customHeight="1"/>
    <row r="9" spans="5:58" ht="18.75" customHeight="1">
      <c r="E9" s="522" t="s">
        <v>133</v>
      </c>
      <c r="F9" s="505" t="s">
        <v>0</v>
      </c>
      <c r="G9" s="506"/>
      <c r="H9" s="493" t="s">
        <v>2</v>
      </c>
      <c r="I9" s="493" t="s">
        <v>3</v>
      </c>
      <c r="J9" s="493" t="s">
        <v>4</v>
      </c>
      <c r="K9" s="511" t="s">
        <v>5</v>
      </c>
      <c r="L9" s="511" t="s">
        <v>6</v>
      </c>
      <c r="M9" s="515" t="s">
        <v>7</v>
      </c>
      <c r="N9" s="512" t="s">
        <v>8</v>
      </c>
      <c r="O9" s="513"/>
      <c r="P9" s="513"/>
      <c r="Q9" s="514"/>
      <c r="R9" s="493" t="s">
        <v>9</v>
      </c>
      <c r="S9" s="494" t="s">
        <v>505</v>
      </c>
      <c r="T9" s="517" t="s">
        <v>134</v>
      </c>
      <c r="U9" s="516" t="s">
        <v>11</v>
      </c>
      <c r="V9" s="511" t="s">
        <v>12</v>
      </c>
      <c r="W9" s="511"/>
      <c r="X9" s="511" t="s">
        <v>13</v>
      </c>
      <c r="Y9" s="511"/>
      <c r="Z9" s="493" t="s">
        <v>14</v>
      </c>
    </row>
    <row r="10" spans="5:58" ht="28.5" customHeight="1">
      <c r="E10" s="523"/>
      <c r="F10" s="507"/>
      <c r="G10" s="508"/>
      <c r="H10" s="493"/>
      <c r="I10" s="493"/>
      <c r="J10" s="493"/>
      <c r="K10" s="511"/>
      <c r="L10" s="511"/>
      <c r="M10" s="515"/>
      <c r="N10" s="512" t="s">
        <v>15</v>
      </c>
      <c r="O10" s="513"/>
      <c r="P10" s="514"/>
      <c r="Q10" s="515" t="s">
        <v>16</v>
      </c>
      <c r="R10" s="493"/>
      <c r="S10" s="495"/>
      <c r="T10" s="493"/>
      <c r="U10" s="516"/>
      <c r="V10" s="511"/>
      <c r="W10" s="511"/>
      <c r="X10" s="511"/>
      <c r="Y10" s="511"/>
      <c r="Z10" s="493"/>
    </row>
    <row r="11" spans="5:58" ht="113.25" customHeight="1">
      <c r="E11" s="524"/>
      <c r="F11" s="509"/>
      <c r="G11" s="510"/>
      <c r="H11" s="493"/>
      <c r="I11" s="493"/>
      <c r="J11" s="493"/>
      <c r="K11" s="511"/>
      <c r="L11" s="511"/>
      <c r="M11" s="515"/>
      <c r="N11" s="139" t="s">
        <v>17</v>
      </c>
      <c r="O11" s="139" t="s">
        <v>18</v>
      </c>
      <c r="P11" s="144" t="s">
        <v>19</v>
      </c>
      <c r="Q11" s="515"/>
      <c r="R11" s="493"/>
      <c r="S11" s="496"/>
      <c r="T11" s="493"/>
      <c r="U11" s="516"/>
      <c r="V11" s="139" t="s">
        <v>20</v>
      </c>
      <c r="W11" s="68" t="s">
        <v>21</v>
      </c>
      <c r="X11" s="144" t="s">
        <v>20</v>
      </c>
      <c r="Y11" s="68" t="s">
        <v>21</v>
      </c>
      <c r="Z11" s="493"/>
    </row>
    <row r="12" spans="5:58" ht="18.75" customHeight="1">
      <c r="E12" s="119" t="s">
        <v>22</v>
      </c>
      <c r="F12" s="521" t="s">
        <v>23</v>
      </c>
      <c r="G12" s="521"/>
      <c r="H12" s="521"/>
      <c r="I12" s="521"/>
      <c r="J12" s="521"/>
      <c r="K12" s="521"/>
      <c r="L12" s="521"/>
      <c r="M12" s="521"/>
      <c r="N12" s="521"/>
      <c r="O12" s="521"/>
      <c r="P12" s="521"/>
      <c r="Q12" s="521"/>
      <c r="R12" s="521"/>
      <c r="S12" s="521"/>
      <c r="T12" s="521"/>
      <c r="U12" s="521"/>
      <c r="V12" s="521"/>
      <c r="W12" s="521"/>
      <c r="X12" s="521"/>
      <c r="Y12" s="521"/>
      <c r="Z12" s="363"/>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4"/>
    </row>
    <row r="14" spans="5:58" ht="20.100000000000001" customHeight="1">
      <c r="E14" s="108" t="s">
        <v>26</v>
      </c>
      <c r="F14" s="242" t="s">
        <v>27</v>
      </c>
      <c r="G14" s="239"/>
      <c r="H14" s="190">
        <v>6</v>
      </c>
      <c r="I14" s="353">
        <v>156990</v>
      </c>
      <c r="J14" s="353" t="str">
        <f>+IF(COUNT(IndHUF!I22),IndHUF!I22,"")</f>
        <v/>
      </c>
      <c r="K14" s="132" t="str">
        <f>+IF(COUNT(IndHUF!J22),IndHUF!J22,"")</f>
        <v/>
      </c>
      <c r="L14" s="132">
        <f>+IF(COUNT(IndHUF!K22),IndHUF!K22,"")</f>
        <v>156990</v>
      </c>
      <c r="M14" s="172">
        <f>+IFERROR(IF(COUNT(L14),ROUND(L14/'Shareholding Pattern'!$L$57*100,2),""),0)</f>
        <v>65.41</v>
      </c>
      <c r="N14" s="189">
        <f>+IF(COUNT(+IndHUF!M22),SUM(+IndHUF!M22),"")</f>
        <v>156990</v>
      </c>
      <c r="O14" s="189" t="str">
        <f>+IF(COUNT(+IndHUF!N22),SUM(+IndHUF!N22),"")</f>
        <v/>
      </c>
      <c r="P14" s="353">
        <f>+IF(COUNT(IndHUF!O22),IndHUF!O22,"")</f>
        <v>156990</v>
      </c>
      <c r="Q14" s="172">
        <f>+IF(COUNT(IndHUF!P22),IndHUF!P22,"")</f>
        <v>65.41</v>
      </c>
      <c r="R14" s="353" t="str">
        <f>+IF(COUNT(IndHUF!Q22),IndHUF!Q22,"")</f>
        <v/>
      </c>
      <c r="S14" s="353" t="str">
        <f>+IF(COUNT(IndHUF!R22),IndHUF!R22,"")</f>
        <v/>
      </c>
      <c r="T14" s="353" t="str">
        <f>+IF(COUNT(IndHUF!S22),IndHUF!S22,"")</f>
        <v/>
      </c>
      <c r="U14" s="133">
        <f>+IFERROR(IF(COUNT(L14,T14),ROUND(SUM(L14,T14)/SUM('Shareholding Pattern'!$L$57,'Shareholding Pattern'!$T$57)*100,2),""),0)</f>
        <v>65.41</v>
      </c>
      <c r="V14" s="210"/>
      <c r="W14" s="185"/>
      <c r="X14" s="210"/>
      <c r="Y14" s="133"/>
      <c r="Z14" s="353">
        <v>156990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3" t="str">
        <f>IFERROR(IF(COUNT(CGAndSG!H16),(CGAndSG!H16),""),"")</f>
        <v/>
      </c>
      <c r="J15" s="353"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3" t="str">
        <f>IFERROR(IF(COUNT(CGAndSG!O16),(CGAndSG!O16),""),"")</f>
        <v/>
      </c>
      <c r="Q15" s="172" t="str">
        <f>IFERROR(IF(COUNT(CGAndSG!P16),(CGAndSG!P16),""),0)</f>
        <v/>
      </c>
      <c r="R15" s="353" t="str">
        <f>IFERROR(IF(COUNT(CGAndSG!Q16),(CGAndSG!Q16),""),"")</f>
        <v/>
      </c>
      <c r="S15" s="353" t="str">
        <f>IFERROR(IF(COUNT(CGAndSG!R16),(CGAndSG!R16),""),"")</f>
        <v/>
      </c>
      <c r="T15" s="353" t="str">
        <f>IFERROR(IF(COUNT(CGAndSG!S16),(CGAndSG!S16),""),"")</f>
        <v/>
      </c>
      <c r="U15" s="133" t="str">
        <f>+IFERROR(IF(COUNT(L15,T15),ROUND(SUM(L15,T15)/SUM('Shareholding Pattern'!$L$57,'Shareholding Pattern'!$T$57)*100,2),""),0)</f>
        <v/>
      </c>
      <c r="V15" s="210" t="str">
        <f>IFERROR(IF(COUNT(CGAndSG!U16),(CGAndSG!U16),""),"")</f>
        <v/>
      </c>
      <c r="W15" s="185" t="str">
        <f t="shared" ref="W15:W16" si="0">+IFERROR(IF(COUNT(V15),ROUND(SUM(V15)/SUM(L15)*100,2),""),0)</f>
        <v/>
      </c>
      <c r="X15" s="210" t="str">
        <f>IFERROR(IF(COUNT(CGAndSG!W16),(CGAndSG!W16),""),"")</f>
        <v/>
      </c>
      <c r="Y15" s="133" t="str">
        <f t="shared" ref="Y15:Y16" si="1">+IFERROR(IF(COUNT(X15),ROUND(SUM(X15)/SUM(L15)*100,2),""),0)</f>
        <v/>
      </c>
      <c r="Z15" s="353"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3" t="str">
        <f>IFERROR(IF(COUNT(Banks!H16),(Banks!H16),""),"")</f>
        <v/>
      </c>
      <c r="J16" s="353"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3" t="str">
        <f>IFERROR(IF(COUNT(Banks!O16),(Banks!O16),""),"")</f>
        <v/>
      </c>
      <c r="Q16" s="172" t="str">
        <f>IFERROR(IF(COUNT(Banks!P16),(Banks!P16),""),0)</f>
        <v/>
      </c>
      <c r="R16" s="353" t="str">
        <f>IFERROR(IF(COUNT(Banks!Q16),(Banks!Q16),""),"")</f>
        <v/>
      </c>
      <c r="S16" s="353" t="str">
        <f>IFERROR(IF(COUNT(Banks!R16),(Banks!R16),""),"")</f>
        <v/>
      </c>
      <c r="T16" s="353"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3" t="str">
        <f>IFERROR(IF(COUNT(Banks!Y16),(Banks!Y16),""),"")</f>
        <v/>
      </c>
      <c r="AA16" s="101"/>
      <c r="AR16" t="s">
        <v>186</v>
      </c>
      <c r="AX16" t="s">
        <v>331</v>
      </c>
      <c r="AZ16" t="s">
        <v>227</v>
      </c>
      <c r="BF16" t="s">
        <v>353</v>
      </c>
    </row>
    <row r="17" spans="5:58" ht="20.100000000000001" customHeight="1">
      <c r="E17" s="112" t="s">
        <v>32</v>
      </c>
      <c r="F17" s="244" t="s">
        <v>33</v>
      </c>
      <c r="H17" s="191">
        <v>2</v>
      </c>
      <c r="I17" s="354">
        <v>23000</v>
      </c>
      <c r="J17" s="354" t="str">
        <f>IFERROR(IF(COUNT(OtherIND!K18),(OtherIND!K18),""),"")</f>
        <v/>
      </c>
      <c r="K17" s="134" t="str">
        <f>IFERROR(IF(COUNT(OtherIND!L18),(OtherIND!L18),""),"")</f>
        <v/>
      </c>
      <c r="L17" s="134">
        <f>IFERROR(IF(COUNT(OtherIND!M18),(OtherIND!M18),""),"")</f>
        <v>23000</v>
      </c>
      <c r="M17" s="214">
        <f>+IFERROR(IF(COUNT(L17),ROUND(L17/'Shareholding Pattern'!$L$57*100,2),""),0)</f>
        <v>9.58</v>
      </c>
      <c r="N17" s="287">
        <f>IFERROR(IF(COUNT(OtherIND!O18),(OtherIND!O18),""),"")</f>
        <v>23000</v>
      </c>
      <c r="O17" s="189" t="str">
        <f>IFERROR(IF(COUNT(OtherIND!P18),(OtherIND!P18),""),"")</f>
        <v/>
      </c>
      <c r="P17" s="354">
        <f>IFERROR(IF(COUNT(OtherIND!Q18),(OtherIND!Q18),""),"")</f>
        <v>23000</v>
      </c>
      <c r="Q17" s="214">
        <f>IFERROR(IF(COUNT(OtherIND!R18),(OtherIND!R18),""),0)</f>
        <v>9.58</v>
      </c>
      <c r="R17" s="354" t="str">
        <f>IFERROR(IF(COUNT(OtherIND!S18),(OtherIND!S18),""),"")</f>
        <v/>
      </c>
      <c r="S17" s="354" t="str">
        <f>IFERROR(IF(COUNT(OtherIND!T18),(OtherIND!T18),""),"")</f>
        <v/>
      </c>
      <c r="T17" s="354" t="str">
        <f>IFERROR(IF(COUNT(OtherIND!U18),(OtherIND!U18),""),"")</f>
        <v/>
      </c>
      <c r="U17" s="135">
        <f>+IFERROR(IF(COUNT(L17,T17),ROUND(SUM(L17,T17)/SUM('Shareholding Pattern'!$L$57,'Shareholding Pattern'!$T$57)*100,2),""),0)</f>
        <v>9.58</v>
      </c>
      <c r="V17" s="210"/>
      <c r="W17" s="233"/>
      <c r="X17" s="210"/>
      <c r="Y17" s="135"/>
      <c r="Z17" s="354">
        <v>23000</v>
      </c>
      <c r="AA17" s="101"/>
      <c r="AR17" t="s">
        <v>187</v>
      </c>
      <c r="AX17" t="s">
        <v>332</v>
      </c>
      <c r="AZ17" t="s">
        <v>390</v>
      </c>
      <c r="BF17" t="s">
        <v>369</v>
      </c>
    </row>
    <row r="18" spans="5:58" ht="20.100000000000001" customHeight="1">
      <c r="E18" s="479" t="s">
        <v>35</v>
      </c>
      <c r="F18" s="479"/>
      <c r="G18" s="479"/>
      <c r="H18" s="64">
        <f>+IFERROR(IF(COUNT(H14:H17),ROUND(SUM(H14:H17),0),""),"")</f>
        <v>8</v>
      </c>
      <c r="I18" s="64">
        <f t="shared" ref="I18:Z18" si="2">+IFERROR(IF(COUNT(I14:I17),ROUND(SUM(I14:I17),0),""),"")</f>
        <v>179990</v>
      </c>
      <c r="J18" s="64" t="str">
        <f t="shared" si="2"/>
        <v/>
      </c>
      <c r="K18" s="4" t="str">
        <f t="shared" si="2"/>
        <v/>
      </c>
      <c r="L18" s="64">
        <f t="shared" si="2"/>
        <v>179990</v>
      </c>
      <c r="M18" s="174">
        <f>+IFERROR(IF(COUNT(L18),ROUND(L18/'Shareholding Pattern'!$L$57*100,2),""),0)</f>
        <v>75</v>
      </c>
      <c r="N18" s="141">
        <f t="shared" si="2"/>
        <v>179990</v>
      </c>
      <c r="O18" s="141" t="str">
        <f t="shared" si="2"/>
        <v/>
      </c>
      <c r="P18" s="64">
        <f t="shared" si="2"/>
        <v>179990</v>
      </c>
      <c r="Q18" s="182">
        <f>IFERROR(IF(COUNT(P18),ROUND(P18/$P$58*100,2),""),0)</f>
        <v>75</v>
      </c>
      <c r="R18" s="64" t="str">
        <f t="shared" si="2"/>
        <v/>
      </c>
      <c r="S18" s="64" t="str">
        <f t="shared" si="2"/>
        <v/>
      </c>
      <c r="T18" s="64" t="str">
        <f t="shared" si="2"/>
        <v/>
      </c>
      <c r="U18" s="136">
        <f>+IFERROR(IF(COUNT(L18,T18),ROUND(SUM(L18,T18)/SUM('Shareholding Pattern'!$L$57,'Shareholding Pattern'!$T$57)*100,2),""),0)</f>
        <v>75</v>
      </c>
      <c r="V18" s="64" t="str">
        <f t="shared" si="2"/>
        <v/>
      </c>
      <c r="W18" s="186" t="str">
        <f>+IFERROR(IF(COUNT(V18),ROUND(SUM(V18)/SUM(L18)*100,2),""),0)</f>
        <v/>
      </c>
      <c r="X18" s="64" t="str">
        <f t="shared" si="2"/>
        <v/>
      </c>
      <c r="Y18" s="137" t="str">
        <f>+IFERROR(IF(COUNT(X18),ROUND(SUM(X18)/SUM(L18)*100,2),""),0)</f>
        <v/>
      </c>
      <c r="Z18" s="64">
        <f t="shared" si="2"/>
        <v>179990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5"/>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79" t="s">
        <v>43</v>
      </c>
      <c r="F25" s="479"/>
      <c r="G25" s="479"/>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5" t="str">
        <f t="shared" si="5"/>
        <v/>
      </c>
      <c r="S25" s="355"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78" t="s">
        <v>105</v>
      </c>
      <c r="F26" s="478"/>
      <c r="G26" s="478"/>
      <c r="H26" s="159">
        <f t="shared" ref="H26:Z26" si="6">+IFERROR(IF(COUNT(H18,H25),ROUND(SUM(H18,H25),0),""),"")</f>
        <v>8</v>
      </c>
      <c r="I26" s="159">
        <f t="shared" si="6"/>
        <v>179990</v>
      </c>
      <c r="J26" s="159" t="str">
        <f t="shared" si="6"/>
        <v/>
      </c>
      <c r="K26" s="157" t="str">
        <f t="shared" si="6"/>
        <v/>
      </c>
      <c r="L26" s="159">
        <f t="shared" si="6"/>
        <v>179990</v>
      </c>
      <c r="M26" s="174">
        <f>+IFERROR(IF(COUNT(L26),ROUND(L26/'Shareholding Pattern'!$L$57*100,2),""),0)</f>
        <v>75</v>
      </c>
      <c r="N26" s="158">
        <f t="shared" si="6"/>
        <v>179990</v>
      </c>
      <c r="O26" s="158" t="str">
        <f t="shared" si="6"/>
        <v/>
      </c>
      <c r="P26" s="159">
        <f t="shared" si="6"/>
        <v>179990</v>
      </c>
      <c r="Q26" s="182">
        <f>IFERROR(IF(COUNT(P26),ROUND(P26/$P$58*100,2),""),0)</f>
        <v>75</v>
      </c>
      <c r="R26" s="355" t="str">
        <f t="shared" si="6"/>
        <v/>
      </c>
      <c r="S26" s="355" t="str">
        <f t="shared" si="6"/>
        <v/>
      </c>
      <c r="T26" s="159" t="str">
        <f t="shared" si="6"/>
        <v/>
      </c>
      <c r="U26" s="136">
        <f>+IFERROR(IF(COUNT(L26,T26),ROUND(SUM(L26,T26)/SUM('Shareholding Pattern'!$L$57,'Shareholding Pattern'!$T$57)*100,2),""),0)</f>
        <v>75</v>
      </c>
      <c r="V26" s="159" t="str">
        <f t="shared" si="6"/>
        <v/>
      </c>
      <c r="W26" s="186" t="str">
        <f>+IFERROR(IF(COUNT(V26),ROUND(SUM(V26)/SUM(L26)*100,2),""),0)</f>
        <v/>
      </c>
      <c r="X26" s="159" t="str">
        <f t="shared" si="6"/>
        <v/>
      </c>
      <c r="Y26" s="137" t="str">
        <f t="shared" si="4"/>
        <v/>
      </c>
      <c r="Z26" s="159">
        <f t="shared" si="6"/>
        <v>179990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70" t="s">
        <v>507</v>
      </c>
      <c r="I28" s="356"/>
      <c r="J28" s="356"/>
      <c r="K28" s="325"/>
      <c r="L28" s="325"/>
      <c r="M28" s="325"/>
      <c r="N28" s="325"/>
      <c r="O28" s="325"/>
      <c r="P28" s="356"/>
      <c r="Q28" s="325"/>
      <c r="R28" s="356"/>
      <c r="S28" s="356"/>
      <c r="T28" s="356"/>
      <c r="U28" s="325"/>
      <c r="V28" s="325"/>
      <c r="W28" s="325"/>
      <c r="X28" s="325"/>
      <c r="Y28" s="325"/>
      <c r="Z28" s="366"/>
      <c r="AX28" t="s">
        <v>340</v>
      </c>
      <c r="AZ28" t="s">
        <v>238</v>
      </c>
      <c r="BF28" t="s">
        <v>361</v>
      </c>
    </row>
    <row r="29" spans="5:58" ht="20.100000000000001" customHeight="1">
      <c r="E29" s="107" t="s">
        <v>24</v>
      </c>
      <c r="F29" s="497" t="s">
        <v>40</v>
      </c>
      <c r="G29" s="498"/>
      <c r="H29" s="498"/>
      <c r="I29" s="498"/>
      <c r="J29" s="498"/>
      <c r="K29" s="498"/>
      <c r="L29" s="498"/>
      <c r="M29" s="498"/>
      <c r="N29" s="498"/>
      <c r="O29" s="498"/>
      <c r="P29" s="498"/>
      <c r="Q29" s="498"/>
      <c r="R29" s="498"/>
      <c r="S29" s="498"/>
      <c r="T29" s="498"/>
      <c r="U29" s="498"/>
      <c r="V29" s="498"/>
      <c r="W29" s="498"/>
      <c r="X29" s="498"/>
      <c r="Y29" s="498"/>
      <c r="Z29" s="498"/>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482"/>
      <c r="Y30" s="483"/>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484"/>
      <c r="Y31" s="485"/>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484"/>
      <c r="Y32" s="485"/>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484"/>
      <c r="Y33" s="485"/>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484"/>
      <c r="Y34" s="485"/>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484"/>
      <c r="Y35" s="485"/>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484"/>
      <c r="Y36" s="485"/>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484"/>
      <c r="Y37" s="485"/>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484"/>
      <c r="Y38" s="485"/>
      <c r="Z38" s="295"/>
      <c r="AR38" t="s">
        <v>203</v>
      </c>
      <c r="AX38" t="s">
        <v>345</v>
      </c>
      <c r="AZ38" t="s">
        <v>247</v>
      </c>
      <c r="BF38" t="s">
        <v>377</v>
      </c>
    </row>
    <row r="39" spans="5:58" ht="20.100000000000001" customHeight="1">
      <c r="E39" s="479" t="s">
        <v>57</v>
      </c>
      <c r="F39" s="479"/>
      <c r="G39" s="479"/>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484"/>
      <c r="Y39" s="485"/>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60" t="str">
        <f t="shared" ref="P40" si="14">+IFERROR(IF(COUNT(N40:O40),ROUND(SUM(N40:O40),0),""),"")</f>
        <v/>
      </c>
      <c r="Q40" s="223" t="str">
        <f>+IFERROR(IF(COUNT(P40),ROUND(P40/'Shareholding Pattern'!$P$58*100,2),""),"")</f>
        <v/>
      </c>
      <c r="R40" s="295"/>
      <c r="S40" s="295"/>
      <c r="T40" s="360" t="str">
        <f t="shared" ref="T40" si="15">+IFERROR(IF(COUNT(R40:S40),ROUND(SUM(R40:S40),0),""),"")</f>
        <v/>
      </c>
      <c r="U40" s="224" t="str">
        <f>+IFERROR(IF(COUNT(L40,T40),ROUND(SUM(L40,T40)/SUM('Shareholding Pattern'!$L$57,'Shareholding Pattern'!$T$57)*100,2),""),"")</f>
        <v/>
      </c>
      <c r="V40" s="295"/>
      <c r="W40" s="352" t="str">
        <f t="shared" si="8"/>
        <v/>
      </c>
      <c r="X40" s="484"/>
      <c r="Y40" s="485"/>
      <c r="Z40" s="295"/>
      <c r="AR40" t="s">
        <v>205</v>
      </c>
      <c r="AX40" t="s">
        <v>226</v>
      </c>
      <c r="AZ40" t="s">
        <v>248</v>
      </c>
      <c r="BF40" t="s">
        <v>382</v>
      </c>
    </row>
    <row r="41" spans="5:58" ht="20.100000000000001" customHeight="1">
      <c r="E41" s="479" t="s">
        <v>62</v>
      </c>
      <c r="F41" s="479"/>
      <c r="G41" s="479"/>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484"/>
      <c r="Y41" s="485"/>
      <c r="Z41" s="53" t="str">
        <f t="shared" ref="Z41" si="17">+IF(COUNT(Z40),SUM(Z40),"")</f>
        <v/>
      </c>
      <c r="AR41" t="s">
        <v>431</v>
      </c>
    </row>
    <row r="42" spans="5:58" ht="20.100000000000001" customHeight="1">
      <c r="E42" s="113" t="s">
        <v>63</v>
      </c>
      <c r="F42" s="247" t="s">
        <v>64</v>
      </c>
      <c r="G42" s="162"/>
      <c r="H42" s="357"/>
      <c r="I42" s="357"/>
      <c r="J42" s="357"/>
      <c r="K42" s="162"/>
      <c r="L42" s="162"/>
      <c r="M42" s="163"/>
      <c r="N42" s="164"/>
      <c r="O42" s="164"/>
      <c r="P42" s="357"/>
      <c r="Q42" s="163"/>
      <c r="R42" s="357"/>
      <c r="S42" s="357"/>
      <c r="T42" s="357"/>
      <c r="U42" s="162"/>
      <c r="V42" s="164"/>
      <c r="W42" s="165"/>
      <c r="X42" s="484"/>
      <c r="Y42" s="485"/>
      <c r="Z42" s="367"/>
    </row>
    <row r="43" spans="5:58" ht="51.75" customHeight="1">
      <c r="E43" s="148" t="s">
        <v>76</v>
      </c>
      <c r="F43" s="248" t="s">
        <v>65</v>
      </c>
      <c r="H43" s="295">
        <v>10</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c r="X43" s="484"/>
      <c r="Y43" s="485"/>
      <c r="Z43" s="295">
        <v>59410</v>
      </c>
      <c r="AR43" t="s">
        <v>206</v>
      </c>
    </row>
    <row r="44" spans="5:58" ht="43.5" customHeight="1">
      <c r="E44" s="148" t="s">
        <v>77</v>
      </c>
      <c r="F44" s="249" t="s">
        <v>66</v>
      </c>
      <c r="H44" s="295"/>
      <c r="I44" s="295"/>
      <c r="J44" s="295"/>
      <c r="K44" s="295"/>
      <c r="L44" s="225" t="str">
        <f t="shared" ref="L44:L50" si="19">+IFERROR(IF(COUNT(I44:K44),ROUND(SUM(I44:K44),0),""),"")</f>
        <v/>
      </c>
      <c r="M44" s="226" t="str">
        <f>+IFERROR(IF(COUNT(L44),ROUND(L44/'Shareholding Pattern'!$L$57*100,2),""),"")</f>
        <v/>
      </c>
      <c r="N44" s="295"/>
      <c r="O44" s="295"/>
      <c r="P44" s="225" t="str">
        <f t="shared" ref="P44:P48" si="20">+IFERROR(IF(COUNT(N44:O44),ROUND(SUM(N44:O44),0),""),"")</f>
        <v/>
      </c>
      <c r="Q44" s="179" t="str">
        <f>+IFERROR(IF(COUNT(P44),ROUND(P44/'Shareholding Pattern'!$P$58*100,2),""),"")</f>
        <v/>
      </c>
      <c r="R44" s="295"/>
      <c r="S44" s="295"/>
      <c r="T44" s="225" t="str">
        <f t="shared" ref="T44:T50" si="21">+IFERROR(IF(COUNT(R44:S44),ROUND(SUM(R44:S44),0),""),"")</f>
        <v/>
      </c>
      <c r="U44" s="228" t="str">
        <f>+IFERROR(IF(COUNT(L44,T44),ROUND(SUM(L44,T44)/SUM('Shareholding Pattern'!$L$57,'Shareholding Pattern'!$T$57)*100,2),""),"")</f>
        <v/>
      </c>
      <c r="V44" s="295"/>
      <c r="W44" s="185" t="str">
        <f t="shared" ref="W44:W50" si="22">+IFERROR(IF(COUNT(V44),ROUND(SUM(V44)/SUM(L44)*100,2),""),0)</f>
        <v/>
      </c>
      <c r="X44" s="484"/>
      <c r="Y44" s="485"/>
      <c r="Z44" s="295"/>
      <c r="AR44" t="s">
        <v>207</v>
      </c>
    </row>
    <row r="45" spans="5:58" ht="20.100000000000001" customHeight="1">
      <c r="E45" s="148" t="s">
        <v>28</v>
      </c>
      <c r="F45" s="250" t="s">
        <v>67</v>
      </c>
      <c r="H45" s="295"/>
      <c r="I45" s="295"/>
      <c r="J45" s="295"/>
      <c r="K45" s="295"/>
      <c r="L45" s="225" t="str">
        <f t="shared" si="19"/>
        <v/>
      </c>
      <c r="M45" s="226" t="str">
        <f>+IFERROR(IF(COUNT(L45),ROUND(L45/'Shareholding Pattern'!$L$57*100,2),""),"")</f>
        <v/>
      </c>
      <c r="N45" s="295"/>
      <c r="O45" s="295"/>
      <c r="P45" s="225" t="str">
        <f t="shared" si="20"/>
        <v/>
      </c>
      <c r="Q45" s="179" t="str">
        <f>+IFERROR(IF(COUNT(P45),ROUND(P45/'Shareholding Pattern'!$P$58*100,2),""),"")</f>
        <v/>
      </c>
      <c r="R45" s="295"/>
      <c r="S45" s="295"/>
      <c r="T45" s="225" t="str">
        <f t="shared" si="21"/>
        <v/>
      </c>
      <c r="U45" s="228" t="str">
        <f>+IFERROR(IF(COUNT(L45,T45),ROUND(SUM(L45,T45)/SUM('Shareholding Pattern'!$L$57,'Shareholding Pattern'!$T$57)*100,2),""),"")</f>
        <v/>
      </c>
      <c r="V45" s="295"/>
      <c r="W45" s="185" t="str">
        <f t="shared" si="22"/>
        <v/>
      </c>
      <c r="X45" s="484"/>
      <c r="Y45" s="485"/>
      <c r="Z45" s="295"/>
      <c r="AR45" t="s">
        <v>208</v>
      </c>
    </row>
    <row r="46" spans="5:58" ht="20.100000000000001" customHeight="1">
      <c r="E46" s="148" t="s">
        <v>30</v>
      </c>
      <c r="F46" s="250" t="s">
        <v>68</v>
      </c>
      <c r="H46" s="295"/>
      <c r="I46" s="295"/>
      <c r="J46" s="295"/>
      <c r="K46" s="295"/>
      <c r="L46" s="225" t="str">
        <f t="shared" si="19"/>
        <v/>
      </c>
      <c r="M46" s="226" t="str">
        <f>+IFERROR(IF(COUNT(L46),ROUND(L46/'Shareholding Pattern'!$L$57*100,2),""),"")</f>
        <v/>
      </c>
      <c r="N46" s="295"/>
      <c r="O46" s="295"/>
      <c r="P46" s="225" t="str">
        <f t="shared" si="20"/>
        <v/>
      </c>
      <c r="Q46" s="227" t="str">
        <f>+IFERROR(IF(COUNT(P46),ROUND(P46/'Shareholding Pattern'!$P$58*100,2),""),"")</f>
        <v/>
      </c>
      <c r="R46" s="295"/>
      <c r="S46" s="295"/>
      <c r="T46" s="225" t="str">
        <f t="shared" si="21"/>
        <v/>
      </c>
      <c r="U46" s="228" t="str">
        <f>+IFERROR(IF(COUNT(L46,T46),ROUND(SUM(L46,T46)/SUM('Shareholding Pattern'!$L$57,'Shareholding Pattern'!$T$57)*100,2),""),"")</f>
        <v/>
      </c>
      <c r="V46" s="295"/>
      <c r="W46" s="185" t="str">
        <f t="shared" si="22"/>
        <v/>
      </c>
      <c r="X46" s="484"/>
      <c r="Y46" s="485"/>
      <c r="Z46" s="295"/>
      <c r="AR46" t="s">
        <v>209</v>
      </c>
    </row>
    <row r="47" spans="5:58" ht="39" customHeight="1">
      <c r="E47" s="148" t="s">
        <v>32</v>
      </c>
      <c r="F47" s="251" t="s">
        <v>69</v>
      </c>
      <c r="H47" s="295"/>
      <c r="I47" s="295"/>
      <c r="J47" s="295"/>
      <c r="K47" s="295"/>
      <c r="L47" s="225" t="str">
        <f t="shared" si="19"/>
        <v/>
      </c>
      <c r="M47" s="226" t="str">
        <f>+IFERROR(IF(COUNT(L47),ROUND(L47/'Shareholding Pattern'!$L$57*100,2),""),"")</f>
        <v/>
      </c>
      <c r="N47" s="295"/>
      <c r="O47" s="295"/>
      <c r="P47" s="225" t="str">
        <f t="shared" si="20"/>
        <v/>
      </c>
      <c r="Q47" s="227" t="str">
        <f>+IFERROR(IF(COUNT(P47),ROUND(P47/'Shareholding Pattern'!$P$58*100,2),""),"")</f>
        <v/>
      </c>
      <c r="R47" s="295"/>
      <c r="S47" s="295"/>
      <c r="T47" s="225" t="str">
        <f t="shared" si="21"/>
        <v/>
      </c>
      <c r="U47" s="228" t="str">
        <f>+IFERROR(IF(COUNT(L47,T47),ROUND(SUM(L47,T47)/SUM('Shareholding Pattern'!$L$57,'Shareholding Pattern'!$T$57)*100,2),""),"")</f>
        <v/>
      </c>
      <c r="V47" s="295"/>
      <c r="W47" s="185" t="str">
        <f t="shared" si="22"/>
        <v/>
      </c>
      <c r="X47" s="484"/>
      <c r="Y47" s="485"/>
      <c r="Z47" s="295"/>
      <c r="AR47" t="s">
        <v>210</v>
      </c>
    </row>
    <row r="48" spans="5:58" ht="20.100000000000001" customHeight="1">
      <c r="E48" s="166" t="s">
        <v>42</v>
      </c>
      <c r="F48" s="252" t="s">
        <v>33</v>
      </c>
      <c r="H48" s="295">
        <v>1</v>
      </c>
      <c r="I48" s="295">
        <v>50</v>
      </c>
      <c r="J48" s="295"/>
      <c r="K48" s="295"/>
      <c r="L48" s="229">
        <f t="shared" si="19"/>
        <v>50</v>
      </c>
      <c r="M48" s="230">
        <f>+IFERROR(IF(COUNT(L48),ROUND(L48/'Shareholding Pattern'!$L$57*100,2),""),"")</f>
        <v>0.02</v>
      </c>
      <c r="N48" s="295">
        <v>50</v>
      </c>
      <c r="O48" s="295"/>
      <c r="P48" s="229">
        <f t="shared" si="20"/>
        <v>50</v>
      </c>
      <c r="Q48" s="231">
        <f>+IFERROR(IF(COUNT(P48),ROUND(P48/'Shareholding Pattern'!$P$58*100,2),""),"")</f>
        <v>0.02</v>
      </c>
      <c r="R48" s="295"/>
      <c r="S48" s="295"/>
      <c r="T48" s="229" t="str">
        <f t="shared" si="21"/>
        <v/>
      </c>
      <c r="U48" s="232">
        <f>+IFERROR(IF(COUNT(L48,T48),ROUND(SUM(L48,T48)/SUM('Shareholding Pattern'!$L$57,'Shareholding Pattern'!$T$57)*100,2),""),"")</f>
        <v>0.02</v>
      </c>
      <c r="V48" s="295"/>
      <c r="W48" s="233"/>
      <c r="X48" s="484"/>
      <c r="Y48" s="485"/>
      <c r="Z48" s="295">
        <v>0</v>
      </c>
      <c r="AR48" t="s">
        <v>211</v>
      </c>
    </row>
    <row r="49" spans="5:44" ht="20.100000000000001" customHeight="1">
      <c r="E49" s="479" t="s">
        <v>70</v>
      </c>
      <c r="F49" s="479"/>
      <c r="G49" s="479"/>
      <c r="H49" s="193">
        <f>+IFERROR(IF(COUNT(H43:H48),ROUND(SUM(H43:H48),0),""),"")</f>
        <v>11</v>
      </c>
      <c r="I49" s="193">
        <f t="shared" ref="I49:V49" si="23">+IFERROR(IF(COUNT(I43:I48),ROUND(SUM(I43:I48),0),""),"")</f>
        <v>60010</v>
      </c>
      <c r="J49" s="193" t="str">
        <f t="shared" si="23"/>
        <v/>
      </c>
      <c r="K49" s="168" t="str">
        <f t="shared" si="23"/>
        <v/>
      </c>
      <c r="L49" s="192">
        <f t="shared" si="19"/>
        <v>60010</v>
      </c>
      <c r="M49" s="176">
        <f>+IFERROR(IF(COUNT(L49),ROUND(L49/'Shareholding Pattern'!$L$57*100,2),""),"")</f>
        <v>25</v>
      </c>
      <c r="N49" s="169">
        <f t="shared" si="23"/>
        <v>60010</v>
      </c>
      <c r="O49" s="169" t="str">
        <f t="shared" si="23"/>
        <v/>
      </c>
      <c r="P49" s="192">
        <f t="shared" ref="P49" si="24">+IFERROR(IF(COUNT(N49:O49),ROUND(SUM(N49:O49),0),""),"")</f>
        <v>60010</v>
      </c>
      <c r="Q49" s="180">
        <f>+IFERROR(IF(COUNT(P49),ROUND(P49/'Shareholding Pattern'!$P$58*100,2),""),"")</f>
        <v>25</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25</v>
      </c>
      <c r="V49" s="169" t="str">
        <f t="shared" si="23"/>
        <v/>
      </c>
      <c r="W49" s="186" t="str">
        <f t="shared" si="22"/>
        <v/>
      </c>
      <c r="X49" s="484"/>
      <c r="Y49" s="485"/>
      <c r="Z49" s="193">
        <f t="shared" ref="Z49" si="26">+IFERROR(IF(COUNT(Z43:Z48),ROUND(SUM(Z43:Z48),0),""),"")</f>
        <v>59410</v>
      </c>
      <c r="AR49" t="s">
        <v>212</v>
      </c>
    </row>
    <row r="50" spans="5:44" ht="20.100000000000001" customHeight="1">
      <c r="E50" s="478" t="s">
        <v>106</v>
      </c>
      <c r="F50" s="478"/>
      <c r="G50" s="478"/>
      <c r="H50" s="193">
        <f>+IFERROR(IF(COUNT(H39,H41,H49),ROUND(SUM(H39,H41,H49),0),""),"")</f>
        <v>11</v>
      </c>
      <c r="I50" s="193">
        <f t="shared" ref="I50:V50" si="27">+IFERROR(IF(COUNT(I39,I41,I49),ROUND(SUM(I39,I41,I49),0),""),"")</f>
        <v>60010</v>
      </c>
      <c r="J50" s="193" t="str">
        <f t="shared" si="27"/>
        <v/>
      </c>
      <c r="K50" s="193" t="str">
        <f t="shared" si="27"/>
        <v/>
      </c>
      <c r="L50" s="192">
        <f t="shared" si="19"/>
        <v>60010</v>
      </c>
      <c r="M50" s="176">
        <f>+IFERROR(IF(COUNT(L50),ROUND(L50/'Shareholding Pattern'!$L$57*100,2),""),"")</f>
        <v>25</v>
      </c>
      <c r="N50" s="169">
        <f t="shared" si="27"/>
        <v>60010</v>
      </c>
      <c r="O50" s="169" t="str">
        <f t="shared" si="27"/>
        <v/>
      </c>
      <c r="P50" s="193">
        <f t="shared" si="27"/>
        <v>60010</v>
      </c>
      <c r="Q50" s="180">
        <f>+IFERROR(IF(COUNT(P50),ROUND(P50/'Shareholding Pattern'!$P$58*100,2),""),"")</f>
        <v>25</v>
      </c>
      <c r="R50" s="193" t="str">
        <f>+IFERROR(IF(COUNT(R39,R40,R49),ROUND(SUM(R39,R40,R49),0),""),"")</f>
        <v/>
      </c>
      <c r="S50" s="193" t="str">
        <f>+IFERROR(IF(COUNT(S39,S40,S49),ROUND(SUM(S39,S40,S49),0),""),"")</f>
        <v/>
      </c>
      <c r="T50" s="361" t="str">
        <f t="shared" si="21"/>
        <v/>
      </c>
      <c r="U50" s="170">
        <f>+IFERROR(IF(COUNT(L50,T50),ROUND(SUM(L50,T50)/SUM('Shareholding Pattern'!$L$57,'Shareholding Pattern'!$T$57)*100,2),""),"")</f>
        <v>25</v>
      </c>
      <c r="V50" s="169" t="str">
        <f t="shared" si="27"/>
        <v/>
      </c>
      <c r="W50" s="186" t="str">
        <f t="shared" si="22"/>
        <v/>
      </c>
      <c r="X50" s="486"/>
      <c r="Y50" s="487"/>
      <c r="Z50" s="193">
        <f t="shared" ref="Z50" si="28">+IFERROR(IF(COUNT(Z39,Z41,Z49),ROUND(SUM(Z39,Z41,Z49),0),""),"")</f>
        <v>59410</v>
      </c>
      <c r="AR50" t="s">
        <v>213</v>
      </c>
    </row>
    <row r="51" spans="5:44" ht="34.5" customHeight="1">
      <c r="E51" s="167"/>
      <c r="F51" s="256" t="s">
        <v>428</v>
      </c>
      <c r="G51" s="255"/>
      <c r="H51" s="358"/>
      <c r="I51" s="358"/>
      <c r="J51" s="358"/>
      <c r="K51" s="255"/>
      <c r="L51" s="255"/>
      <c r="M51" s="255"/>
      <c r="N51" s="255"/>
      <c r="O51" s="255"/>
      <c r="P51" s="358"/>
      <c r="Q51" s="255"/>
      <c r="R51" s="358"/>
      <c r="S51" s="358"/>
      <c r="T51" s="358"/>
      <c r="U51" s="255"/>
      <c r="V51" s="255"/>
      <c r="W51" s="255"/>
      <c r="X51" s="255"/>
      <c r="Y51" s="255"/>
      <c r="Z51" s="368"/>
    </row>
    <row r="52" spans="5:44" ht="42" customHeight="1">
      <c r="E52" s="130"/>
      <c r="F52" s="246" t="s">
        <v>429</v>
      </c>
      <c r="M52"/>
      <c r="N52"/>
      <c r="O52"/>
      <c r="Q52"/>
      <c r="U52"/>
      <c r="V52"/>
      <c r="W52"/>
      <c r="X52"/>
      <c r="Y52"/>
      <c r="Z52" s="369"/>
    </row>
    <row r="53" spans="5:44" ht="34.5" customHeight="1">
      <c r="E53" s="117" t="s">
        <v>58</v>
      </c>
      <c r="F53" s="518" t="s">
        <v>59</v>
      </c>
      <c r="G53" s="519"/>
      <c r="H53" s="519"/>
      <c r="I53" s="519"/>
      <c r="J53" s="519"/>
      <c r="K53" s="519"/>
      <c r="L53" s="519"/>
      <c r="M53" s="519"/>
      <c r="N53" s="519"/>
      <c r="O53" s="519"/>
      <c r="P53" s="519"/>
      <c r="Q53" s="519"/>
      <c r="R53" s="519"/>
      <c r="S53" s="519"/>
      <c r="T53" s="519"/>
      <c r="U53" s="519"/>
      <c r="V53" s="519"/>
      <c r="W53" s="519"/>
      <c r="X53" s="519"/>
      <c r="Y53" s="519"/>
      <c r="Z53" s="520"/>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499"/>
      <c r="Y54" s="500"/>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1"/>
      <c r="Y55" s="502"/>
      <c r="Z55" s="295"/>
      <c r="AR55" t="s">
        <v>215</v>
      </c>
    </row>
    <row r="56" spans="5:44" ht="31.5" customHeight="1">
      <c r="E56" s="480" t="s">
        <v>73</v>
      </c>
      <c r="F56" s="480"/>
      <c r="G56" s="480"/>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1"/>
      <c r="Y56" s="502"/>
      <c r="Z56" s="150" t="str">
        <f t="shared" si="30"/>
        <v/>
      </c>
      <c r="AR56" t="s">
        <v>216</v>
      </c>
    </row>
    <row r="57" spans="5:44" ht="26.25" customHeight="1">
      <c r="E57" s="481" t="s">
        <v>74</v>
      </c>
      <c r="F57" s="481"/>
      <c r="G57" s="481"/>
      <c r="H57" s="150">
        <f t="shared" ref="H57:Z57" si="31">+IFERROR(IF(COUNT(H26,H50,H55),ROUND(SUM(H26,H50,H55),0),""),"")</f>
        <v>19</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03"/>
      <c r="Y57" s="504"/>
      <c r="Z57" s="150">
        <f t="shared" si="31"/>
        <v>239400</v>
      </c>
    </row>
    <row r="58" spans="5:44" ht="22.5" customHeight="1">
      <c r="E58" s="481" t="s">
        <v>75</v>
      </c>
      <c r="F58" s="481"/>
      <c r="G58" s="481"/>
      <c r="H58" s="150">
        <f t="shared" ref="H58:Z58" si="32">+IFERROR(IF(COUNT(H26,H50,H56),ROUND(SUM(H26,H50,H56),0),""),"")</f>
        <v>19</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t="str">
        <f t="shared" si="32"/>
        <v/>
      </c>
      <c r="Y58" s="185" t="str">
        <f>+IFERROR(IF(COUNT(X58),ROUND(SUM(X58)/SUM(L58)*100,2),""),0)</f>
        <v/>
      </c>
      <c r="Z58" s="150">
        <f t="shared" si="32"/>
        <v>239400</v>
      </c>
      <c r="AR58" t="s">
        <v>217</v>
      </c>
    </row>
    <row r="59" spans="5:44" ht="35.1" customHeight="1">
      <c r="E59" s="490" t="s">
        <v>183</v>
      </c>
      <c r="F59" s="491"/>
      <c r="G59" s="491"/>
      <c r="H59" s="491"/>
      <c r="I59" s="491"/>
      <c r="J59" s="491"/>
      <c r="K59" s="491"/>
      <c r="L59" s="491"/>
      <c r="M59" s="492"/>
      <c r="N59" s="488"/>
      <c r="O59" s="489"/>
      <c r="P59" s="362"/>
      <c r="Q59" s="263"/>
      <c r="R59" s="359"/>
      <c r="S59" s="359"/>
      <c r="T59" s="359"/>
      <c r="U59" s="263"/>
      <c r="V59" s="263"/>
      <c r="W59" s="263"/>
      <c r="X59" s="476"/>
      <c r="Y59" s="476"/>
      <c r="Z59" s="477"/>
    </row>
    <row r="60" spans="5:44" ht="35.1" customHeight="1">
      <c r="E60" s="490" t="s">
        <v>587</v>
      </c>
      <c r="F60" s="491"/>
      <c r="G60" s="491"/>
      <c r="H60" s="491"/>
      <c r="I60" s="491"/>
      <c r="J60" s="491"/>
      <c r="K60" s="491"/>
      <c r="L60" s="491"/>
      <c r="M60" s="492"/>
      <c r="N60" s="525"/>
      <c r="O60" s="489"/>
      <c r="P60" s="362"/>
      <c r="Q60" s="263"/>
      <c r="R60" s="359"/>
      <c r="S60" s="359"/>
      <c r="T60" s="359"/>
      <c r="U60" s="263"/>
      <c r="V60" s="263"/>
      <c r="W60" s="263"/>
      <c r="X60" s="476"/>
      <c r="Y60" s="476"/>
      <c r="Z60" s="477"/>
    </row>
    <row r="61" spans="5:44" ht="35.1" customHeight="1">
      <c r="E61" s="490" t="s">
        <v>588</v>
      </c>
      <c r="F61" s="491"/>
      <c r="G61" s="491"/>
      <c r="H61" s="491"/>
      <c r="I61" s="491"/>
      <c r="J61" s="491"/>
      <c r="K61" s="491"/>
      <c r="L61" s="491"/>
      <c r="M61" s="492"/>
      <c r="N61" s="525"/>
      <c r="O61" s="489"/>
      <c r="P61" s="362"/>
      <c r="Q61" s="263"/>
      <c r="R61" s="359"/>
      <c r="S61" s="359"/>
      <c r="T61" s="359"/>
      <c r="U61" s="263"/>
      <c r="V61" s="263"/>
      <c r="W61" s="263"/>
      <c r="X61" s="476"/>
      <c r="Y61" s="476"/>
      <c r="Z61" s="477"/>
    </row>
    <row r="62" spans="5:44" ht="35.1" customHeight="1">
      <c r="E62" s="490" t="s">
        <v>589</v>
      </c>
      <c r="F62" s="491"/>
      <c r="G62" s="491"/>
      <c r="H62" s="491"/>
      <c r="I62" s="491"/>
      <c r="J62" s="491"/>
      <c r="K62" s="491"/>
      <c r="L62" s="491"/>
      <c r="M62" s="492"/>
      <c r="N62" s="488"/>
      <c r="O62" s="489"/>
      <c r="P62" s="362"/>
      <c r="Q62" s="263"/>
      <c r="R62" s="359"/>
      <c r="S62" s="359"/>
      <c r="T62" s="359"/>
      <c r="U62" s="263"/>
      <c r="V62" s="263"/>
      <c r="W62" s="263"/>
      <c r="X62" s="476"/>
      <c r="Y62" s="476"/>
      <c r="Z62" s="477"/>
    </row>
    <row r="63" spans="5:44"/>
  </sheetData>
  <sheetProtection algorithmName="SHA-512" hashValue="UrccynF+TbkMa9+KaNPO+HHDWFmfeRc3FVlkM2X9Gj62DZySXlkQMM5RZMm2BX1gZ2ziK+BlN5hYMweAptm4uQ==" saltValue="IfCw2p3IejAKIjTlAj3iTg==" spinCount="100000"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2000000}">
      <formula1>0</formula1>
    </dataValidation>
    <dataValidation type="whole" operator="greaterThan" allowBlank="1" showInputMessage="1" showErrorMessage="1" sqref="H30:H38 H40 H54:H55 H43:H48" xr:uid="{00000000-0002-0000-0500-000003000000}">
      <formula1>0</formula1>
    </dataValidation>
    <dataValidation operator="greaterThan" allowBlank="1" showInputMessage="1" showErrorMessage="1" sqref="H20:H24 H14:H17" xr:uid="{00000000-0002-0000-0500-000004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22"/>
  <sheetViews>
    <sheetView showGridLines="0" topLeftCell="D7" zoomScale="85" zoomScaleNormal="85" workbookViewId="0">
      <selection activeCell="E20" sqref="E20:AC20"/>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6640625" customWidth="1"/>
    <col min="14" max="14" width="16.109375" hidden="1" customWidth="1"/>
    <col min="15" max="15" width="16.44140625" customWidth="1"/>
    <col min="16" max="16" width="10.6640625" customWidth="1"/>
    <col min="17" max="18" width="14.5546875" hidden="1" customWidth="1"/>
    <col min="19" max="19" width="14.5546875" customWidth="1"/>
    <col min="20" max="20" width="19.109375" customWidth="1"/>
    <col min="21" max="21" width="15.44140625" hidden="1" customWidth="1"/>
    <col min="22" max="22" width="8.88671875" hidden="1" customWidth="1"/>
    <col min="23" max="23" width="15.44140625" hidden="1" customWidth="1"/>
    <col min="24" max="24" width="8.88671875" hidden="1" customWidth="1"/>
    <col min="25" max="25" width="15.44140625" customWidth="1"/>
    <col min="26" max="26" width="18" customWidth="1"/>
    <col min="27" max="27" width="17.109375" customWidth="1"/>
    <col min="28" max="28" width="4.6640625" customWidth="1"/>
    <col min="29" max="16383" width="4.88671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68" t="s">
        <v>137</v>
      </c>
      <c r="F9" s="468" t="s">
        <v>136</v>
      </c>
      <c r="G9" s="528" t="s">
        <v>1</v>
      </c>
      <c r="H9" s="528" t="s">
        <v>3</v>
      </c>
      <c r="I9" s="528" t="s">
        <v>4</v>
      </c>
      <c r="J9" s="528" t="s">
        <v>5</v>
      </c>
      <c r="K9" s="528" t="s">
        <v>6</v>
      </c>
      <c r="L9" s="528" t="s">
        <v>7</v>
      </c>
      <c r="M9" s="529" t="s">
        <v>8</v>
      </c>
      <c r="N9" s="530"/>
      <c r="O9" s="530"/>
      <c r="P9" s="531"/>
      <c r="Q9" s="528" t="s">
        <v>9</v>
      </c>
      <c r="R9" s="528" t="s">
        <v>505</v>
      </c>
      <c r="S9" s="528" t="s">
        <v>134</v>
      </c>
      <c r="T9" s="468" t="s">
        <v>143</v>
      </c>
      <c r="U9" s="505" t="s">
        <v>12</v>
      </c>
      <c r="V9" s="506"/>
      <c r="W9" s="505" t="s">
        <v>13</v>
      </c>
      <c r="X9" s="506"/>
      <c r="Y9" s="528" t="s">
        <v>14</v>
      </c>
      <c r="Z9" s="467" t="s">
        <v>499</v>
      </c>
      <c r="AA9" s="528" t="s">
        <v>517</v>
      </c>
    </row>
    <row r="10" spans="5:45" ht="31.5" customHeight="1">
      <c r="E10" s="526"/>
      <c r="F10" s="523"/>
      <c r="G10" s="526"/>
      <c r="H10" s="526"/>
      <c r="I10" s="526"/>
      <c r="J10" s="526"/>
      <c r="K10" s="526"/>
      <c r="L10" s="526"/>
      <c r="M10" s="474" t="s">
        <v>135</v>
      </c>
      <c r="N10" s="513"/>
      <c r="O10" s="514"/>
      <c r="P10" s="528" t="s">
        <v>16</v>
      </c>
      <c r="Q10" s="526"/>
      <c r="R10" s="526"/>
      <c r="S10" s="526"/>
      <c r="T10" s="526"/>
      <c r="U10" s="509"/>
      <c r="V10" s="510"/>
      <c r="W10" s="509"/>
      <c r="X10" s="510"/>
      <c r="Y10" s="526"/>
      <c r="Z10" s="511"/>
      <c r="AA10" s="526"/>
    </row>
    <row r="11" spans="5:45" ht="78.75" customHeight="1">
      <c r="E11" s="527"/>
      <c r="F11" s="524"/>
      <c r="G11" s="527"/>
      <c r="H11" s="527"/>
      <c r="I11" s="527"/>
      <c r="J11" s="527"/>
      <c r="K11" s="527"/>
      <c r="L11" s="527"/>
      <c r="M11" s="33" t="s">
        <v>141</v>
      </c>
      <c r="N11" s="33" t="s">
        <v>18</v>
      </c>
      <c r="O11" s="32" t="s">
        <v>19</v>
      </c>
      <c r="P11" s="527"/>
      <c r="Q11" s="527"/>
      <c r="R11" s="527"/>
      <c r="S11" s="527"/>
      <c r="T11" s="527"/>
      <c r="U11" s="32" t="s">
        <v>20</v>
      </c>
      <c r="V11" s="32" t="s">
        <v>21</v>
      </c>
      <c r="W11" s="32" t="s">
        <v>20</v>
      </c>
      <c r="X11" s="32" t="s">
        <v>21</v>
      </c>
      <c r="Y11" s="527"/>
      <c r="Z11" s="511"/>
      <c r="AA11" s="527"/>
    </row>
    <row r="12" spans="5:45" ht="16.5" customHeight="1">
      <c r="E12" s="9" t="s">
        <v>79</v>
      </c>
      <c r="F12" s="377"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557" t="s">
        <v>710</v>
      </c>
      <c r="G15" s="558" t="s">
        <v>711</v>
      </c>
      <c r="H15" s="47">
        <v>14550</v>
      </c>
      <c r="I15" s="47"/>
      <c r="J15" s="47"/>
      <c r="K15" s="556">
        <f t="shared" ref="K15:K20" si="0">+IFERROR(IF(COUNT(H15:J15),ROUND(SUM(H15:J15),0),""),"")</f>
        <v>14550</v>
      </c>
      <c r="L15" s="51">
        <f>+IFERROR(IF(COUNT(K15),ROUND(K15/'Shareholding Pattern'!$L$57*100,2),""),0)</f>
        <v>6.06</v>
      </c>
      <c r="M15" s="206">
        <f t="shared" ref="M15:M20" si="1">IF(H15="","",H15)</f>
        <v>14550</v>
      </c>
      <c r="N15" s="206"/>
      <c r="O15" s="284">
        <f t="shared" ref="O15:O20" si="2">+IFERROR(IF(COUNT(M15:N15),ROUND(SUM(M15,N15),2),""),"")</f>
        <v>14550</v>
      </c>
      <c r="P15" s="51">
        <f>+IFERROR(IF(COUNT(O15),ROUND(O15/('Shareholding Pattern'!$P$58)*100,2),""),0)</f>
        <v>6.06</v>
      </c>
      <c r="Q15" s="47"/>
      <c r="R15" s="47"/>
      <c r="S15" s="556" t="str">
        <f t="shared" ref="S15:S20" si="3">+IFERROR(IF(COUNT(Q15:R15),ROUND(SUM(Q15:R15),0),""),"")</f>
        <v/>
      </c>
      <c r="T15" s="17">
        <f>+IFERROR(IF(COUNT(K15,S15),ROUND(SUM(S15,K15)/SUM('Shareholding Pattern'!$L$57,'Shareholding Pattern'!$T$57)*100,2),""),0)</f>
        <v>6.06</v>
      </c>
      <c r="U15" s="47"/>
      <c r="V15" s="17" t="str">
        <f t="shared" ref="V15:V20" si="4">+IFERROR(IF(COUNT(U15),ROUND(SUM(U15)/SUM(K15)*100,2),""),0)</f>
        <v/>
      </c>
      <c r="W15" s="47"/>
      <c r="X15" s="17" t="str">
        <f t="shared" ref="X15:X20" si="5">+IFERROR(IF(COUNT(W15),ROUND(SUM(W15)/SUM(K15)*100,2),""),0)</f>
        <v/>
      </c>
      <c r="Y15" s="47">
        <v>14550</v>
      </c>
      <c r="Z15" s="283"/>
      <c r="AA15" s="333" t="s">
        <v>519</v>
      </c>
      <c r="AB15" s="11"/>
      <c r="AC15" s="11">
        <f t="shared" ref="AC15:AC20" si="6">IF(SUM(H15:Y15)&gt;0,1,0)</f>
        <v>1</v>
      </c>
    </row>
    <row r="16" spans="5:45" ht="24.75" customHeight="1">
      <c r="E16" s="194">
        <v>2</v>
      </c>
      <c r="F16" s="557" t="s">
        <v>712</v>
      </c>
      <c r="G16" s="558" t="s">
        <v>713</v>
      </c>
      <c r="H16" s="47">
        <v>17800</v>
      </c>
      <c r="I16" s="47"/>
      <c r="J16" s="47"/>
      <c r="K16" s="556">
        <f t="shared" si="0"/>
        <v>17800</v>
      </c>
      <c r="L16" s="51">
        <f>+IFERROR(IF(COUNT(K16),ROUND(K16/'Shareholding Pattern'!$L$57*100,2),""),0)</f>
        <v>7.42</v>
      </c>
      <c r="M16" s="206">
        <f t="shared" si="1"/>
        <v>17800</v>
      </c>
      <c r="N16" s="206"/>
      <c r="O16" s="284">
        <f t="shared" si="2"/>
        <v>17800</v>
      </c>
      <c r="P16" s="51">
        <f>+IFERROR(IF(COUNT(O16),ROUND(O16/('Shareholding Pattern'!$P$58)*100,2),""),0)</f>
        <v>7.42</v>
      </c>
      <c r="Q16" s="47"/>
      <c r="R16" s="47"/>
      <c r="S16" s="556" t="str">
        <f t="shared" si="3"/>
        <v/>
      </c>
      <c r="T16" s="17">
        <f>+IFERROR(IF(COUNT(K16,S16),ROUND(SUM(S16,K16)/SUM('Shareholding Pattern'!$L$57,'Shareholding Pattern'!$T$57)*100,2),""),0)</f>
        <v>7.42</v>
      </c>
      <c r="U16" s="47"/>
      <c r="V16" s="17" t="str">
        <f t="shared" si="4"/>
        <v/>
      </c>
      <c r="W16" s="47"/>
      <c r="X16" s="17" t="str">
        <f t="shared" si="5"/>
        <v/>
      </c>
      <c r="Y16" s="47">
        <v>17800</v>
      </c>
      <c r="Z16" s="283"/>
      <c r="AA16" s="333" t="s">
        <v>520</v>
      </c>
      <c r="AB16" s="11"/>
      <c r="AC16" s="11">
        <f t="shared" si="6"/>
        <v>1</v>
      </c>
    </row>
    <row r="17" spans="5:29" ht="24.75" customHeight="1">
      <c r="E17" s="194">
        <v>3</v>
      </c>
      <c r="F17" s="557" t="s">
        <v>714</v>
      </c>
      <c r="G17" s="558" t="s">
        <v>715</v>
      </c>
      <c r="H17" s="47">
        <v>20000</v>
      </c>
      <c r="I17" s="47"/>
      <c r="J17" s="47"/>
      <c r="K17" s="556">
        <f t="shared" si="0"/>
        <v>20000</v>
      </c>
      <c r="L17" s="51">
        <f>+IFERROR(IF(COUNT(K17),ROUND(K17/'Shareholding Pattern'!$L$57*100,2),""),0)</f>
        <v>8.33</v>
      </c>
      <c r="M17" s="206">
        <f t="shared" si="1"/>
        <v>20000</v>
      </c>
      <c r="N17" s="206"/>
      <c r="O17" s="284">
        <f t="shared" si="2"/>
        <v>20000</v>
      </c>
      <c r="P17" s="51">
        <f>+IFERROR(IF(COUNT(O17),ROUND(O17/('Shareholding Pattern'!$P$58)*100,2),""),0)</f>
        <v>8.33</v>
      </c>
      <c r="Q17" s="47"/>
      <c r="R17" s="47"/>
      <c r="S17" s="556" t="str">
        <f t="shared" si="3"/>
        <v/>
      </c>
      <c r="T17" s="17">
        <f>+IFERROR(IF(COUNT(K17,S17),ROUND(SUM(S17,K17)/SUM('Shareholding Pattern'!$L$57,'Shareholding Pattern'!$T$57)*100,2),""),0)</f>
        <v>8.33</v>
      </c>
      <c r="U17" s="47"/>
      <c r="V17" s="17" t="str">
        <f t="shared" si="4"/>
        <v/>
      </c>
      <c r="W17" s="47"/>
      <c r="X17" s="17" t="str">
        <f t="shared" si="5"/>
        <v/>
      </c>
      <c r="Y17" s="47">
        <v>20000</v>
      </c>
      <c r="Z17" s="283"/>
      <c r="AA17" s="333" t="s">
        <v>520</v>
      </c>
      <c r="AB17" s="11"/>
      <c r="AC17" s="11">
        <f t="shared" si="6"/>
        <v>1</v>
      </c>
    </row>
    <row r="18" spans="5:29" ht="24.75" customHeight="1">
      <c r="E18" s="194">
        <v>4</v>
      </c>
      <c r="F18" s="557" t="s">
        <v>716</v>
      </c>
      <c r="G18" s="558" t="s">
        <v>717</v>
      </c>
      <c r="H18" s="47">
        <v>30980</v>
      </c>
      <c r="I18" s="47"/>
      <c r="J18" s="47"/>
      <c r="K18" s="556">
        <f t="shared" si="0"/>
        <v>30980</v>
      </c>
      <c r="L18" s="51">
        <f>+IFERROR(IF(COUNT(K18),ROUND(K18/'Shareholding Pattern'!$L$57*100,2),""),0)</f>
        <v>12.91</v>
      </c>
      <c r="M18" s="206">
        <f t="shared" si="1"/>
        <v>30980</v>
      </c>
      <c r="N18" s="206"/>
      <c r="O18" s="284">
        <f t="shared" si="2"/>
        <v>30980</v>
      </c>
      <c r="P18" s="51">
        <f>+IFERROR(IF(COUNT(O18),ROUND(O18/('Shareholding Pattern'!$P$58)*100,2),""),0)</f>
        <v>12.91</v>
      </c>
      <c r="Q18" s="47"/>
      <c r="R18" s="47"/>
      <c r="S18" s="556" t="str">
        <f t="shared" si="3"/>
        <v/>
      </c>
      <c r="T18" s="17">
        <f>+IFERROR(IF(COUNT(K18,S18),ROUND(SUM(S18,K18)/SUM('Shareholding Pattern'!$L$57,'Shareholding Pattern'!$T$57)*100,2),""),0)</f>
        <v>12.91</v>
      </c>
      <c r="U18" s="47"/>
      <c r="V18" s="17" t="str">
        <f t="shared" si="4"/>
        <v/>
      </c>
      <c r="W18" s="47"/>
      <c r="X18" s="17" t="str">
        <f t="shared" si="5"/>
        <v/>
      </c>
      <c r="Y18" s="47">
        <v>30980</v>
      </c>
      <c r="Z18" s="283"/>
      <c r="AA18" s="333" t="s">
        <v>519</v>
      </c>
      <c r="AB18" s="11"/>
      <c r="AC18" s="11">
        <f t="shared" si="6"/>
        <v>1</v>
      </c>
    </row>
    <row r="19" spans="5:29" ht="24.75" customHeight="1">
      <c r="E19" s="194">
        <v>5</v>
      </c>
      <c r="F19" s="557" t="s">
        <v>718</v>
      </c>
      <c r="G19" s="558" t="s">
        <v>719</v>
      </c>
      <c r="H19" s="47">
        <v>35400</v>
      </c>
      <c r="I19" s="47"/>
      <c r="J19" s="47"/>
      <c r="K19" s="556">
        <f t="shared" si="0"/>
        <v>35400</v>
      </c>
      <c r="L19" s="51">
        <f>+IFERROR(IF(COUNT(K19),ROUND(K19/'Shareholding Pattern'!$L$57*100,2),""),0)</f>
        <v>14.75</v>
      </c>
      <c r="M19" s="206">
        <f t="shared" si="1"/>
        <v>35400</v>
      </c>
      <c r="N19" s="206"/>
      <c r="O19" s="284">
        <f t="shared" si="2"/>
        <v>35400</v>
      </c>
      <c r="P19" s="51">
        <f>+IFERROR(IF(COUNT(O19),ROUND(O19/('Shareholding Pattern'!$P$58)*100,2),""),0)</f>
        <v>14.75</v>
      </c>
      <c r="Q19" s="47"/>
      <c r="R19" s="47"/>
      <c r="S19" s="556" t="str">
        <f t="shared" si="3"/>
        <v/>
      </c>
      <c r="T19" s="17">
        <f>+IFERROR(IF(COUNT(K19,S19),ROUND(SUM(S19,K19)/SUM('Shareholding Pattern'!$L$57,'Shareholding Pattern'!$T$57)*100,2),""),0)</f>
        <v>14.75</v>
      </c>
      <c r="U19" s="47"/>
      <c r="V19" s="17" t="str">
        <f t="shared" si="4"/>
        <v/>
      </c>
      <c r="W19" s="47"/>
      <c r="X19" s="17" t="str">
        <f t="shared" si="5"/>
        <v/>
      </c>
      <c r="Y19" s="47">
        <v>35400</v>
      </c>
      <c r="Z19" s="283"/>
      <c r="AA19" s="333" t="s">
        <v>519</v>
      </c>
      <c r="AB19" s="11"/>
      <c r="AC19" s="11">
        <f t="shared" si="6"/>
        <v>1</v>
      </c>
    </row>
    <row r="20" spans="5:29" ht="24.75" customHeight="1">
      <c r="E20" s="194">
        <v>6</v>
      </c>
      <c r="F20" s="557" t="s">
        <v>720</v>
      </c>
      <c r="G20" s="558" t="s">
        <v>721</v>
      </c>
      <c r="H20" s="47">
        <v>38260</v>
      </c>
      <c r="I20" s="47"/>
      <c r="J20" s="47"/>
      <c r="K20" s="556">
        <f t="shared" si="0"/>
        <v>38260</v>
      </c>
      <c r="L20" s="51">
        <f>+IFERROR(IF(COUNT(K20),ROUND(K20/'Shareholding Pattern'!$L$57*100,2),""),0)</f>
        <v>15.94</v>
      </c>
      <c r="M20" s="206">
        <f t="shared" si="1"/>
        <v>38260</v>
      </c>
      <c r="N20" s="206"/>
      <c r="O20" s="284">
        <f t="shared" si="2"/>
        <v>38260</v>
      </c>
      <c r="P20" s="51">
        <f>+IFERROR(IF(COUNT(O20),ROUND(O20/('Shareholding Pattern'!$P$58)*100,2),""),0)</f>
        <v>15.94</v>
      </c>
      <c r="Q20" s="47"/>
      <c r="R20" s="47"/>
      <c r="S20" s="556" t="str">
        <f t="shared" si="3"/>
        <v/>
      </c>
      <c r="T20" s="17">
        <f>+IFERROR(IF(COUNT(K20,S20),ROUND(SUM(S20,K20)/SUM('Shareholding Pattern'!$L$57,'Shareholding Pattern'!$T$57)*100,2),""),0)</f>
        <v>15.94</v>
      </c>
      <c r="U20" s="47"/>
      <c r="V20" s="17" t="str">
        <f t="shared" si="4"/>
        <v/>
      </c>
      <c r="W20" s="47"/>
      <c r="X20" s="17" t="str">
        <f t="shared" si="5"/>
        <v/>
      </c>
      <c r="Y20" s="47">
        <v>38260</v>
      </c>
      <c r="Z20" s="283"/>
      <c r="AA20" s="333" t="s">
        <v>519</v>
      </c>
      <c r="AB20" s="11"/>
      <c r="AC20" s="11">
        <f t="shared" si="6"/>
        <v>1</v>
      </c>
    </row>
    <row r="21" spans="5:29" ht="16.5" hidden="1" customHeight="1">
      <c r="E21" s="195"/>
      <c r="F21" s="199"/>
      <c r="G21" s="199"/>
      <c r="H21" s="199"/>
      <c r="I21" s="199"/>
      <c r="J21" s="199"/>
      <c r="K21" s="199"/>
      <c r="L21" s="199"/>
      <c r="M21" s="199"/>
      <c r="N21" s="199"/>
      <c r="O21" s="199"/>
      <c r="P21" s="199"/>
      <c r="Q21" s="199"/>
      <c r="R21" s="199"/>
      <c r="S21" s="199"/>
      <c r="T21" s="199"/>
      <c r="U21" s="199"/>
      <c r="V21" s="199"/>
      <c r="W21" s="199"/>
      <c r="X21" s="199"/>
      <c r="Y21" s="200"/>
    </row>
    <row r="22" spans="5:29" ht="20.100000000000001" customHeight="1">
      <c r="E22" s="126"/>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algorithmName="SHA-512" hashValue="dclleNyA0BlYW0MsF5xoPu+lx8Vsoa5bVpqA4VZRtBMuI2ULT8RpJb5WoVwcU8o7HqAUBTm8PNctk3FTtMzzYg==" saltValue="V88ny9yH62+LG3UrRH99tg=="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20" xr:uid="{00000000-0002-0000-0600-000000000000}">
      <formula1>K13</formula1>
    </dataValidation>
    <dataValidation type="whole" operator="lessThanOrEqual" allowBlank="1" showInputMessage="1" showErrorMessage="1" sqref="U13 U15:U20" xr:uid="{00000000-0002-0000-0600-000001000000}">
      <formula1>H13</formula1>
    </dataValidation>
    <dataValidation type="whole" operator="lessThanOrEqual" allowBlank="1" showInputMessage="1" showErrorMessage="1" sqref="W13 W15:W20" xr:uid="{00000000-0002-0000-0600-000002000000}">
      <formula1>H13</formula1>
    </dataValidation>
    <dataValidation type="whole" operator="greaterThanOrEqual" allowBlank="1" showInputMessage="1" showErrorMessage="1" sqref="Q13:R13 H13:J13 M13:N13 M15:N20 Q15:R20 H15:J20" xr:uid="{00000000-0002-0000-0600-000003000000}">
      <formula1>0</formula1>
    </dataValidation>
    <dataValidation type="textLength" operator="equal" allowBlank="1" showInputMessage="1" showErrorMessage="1" prompt="[A-Z][A-Z][A-Z][A-Z][A-Z][0-9][0-9][0-9][0-9][A-Z]_x000a__x000a_In absence of PAN write : ZZZZZ9999Z" sqref="G13 G15:G20" xr:uid="{00000000-0002-0000-0600-000004000000}">
      <formula1>10</formula1>
    </dataValidation>
    <dataValidation type="list" allowBlank="1" showInputMessage="1" showErrorMessage="1" sqref="AA13 AA15:AA20" xr:uid="{00000000-0002-0000-0600-000005000000}">
      <formula1>$AR$2:$AS$2</formula1>
    </dataValidation>
  </dataValidations>
  <hyperlinks>
    <hyperlink ref="G22" location="'Shareholding Pattern'!F14" display="Total" xr:uid="{00000000-0004-0000-0600-000000000000}"/>
    <hyperlink ref="F22"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68580</xdr:colOff>
                    <xdr:row>14</xdr:row>
                    <xdr:rowOff>68580</xdr:rowOff>
                  </from>
                  <to>
                    <xdr:col>25</xdr:col>
                    <xdr:colOff>1135380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68580</xdr:colOff>
                    <xdr:row>15</xdr:row>
                    <xdr:rowOff>68580</xdr:rowOff>
                  </from>
                  <to>
                    <xdr:col>25</xdr:col>
                    <xdr:colOff>1135380</xdr:colOff>
                    <xdr:row>15</xdr:row>
                    <xdr:rowOff>266700</xdr:rowOff>
                  </to>
                </anchor>
              </controlPr>
            </control>
          </mc:Choice>
        </mc:AlternateContent>
        <mc:AlternateContent xmlns:mc="http://schemas.openxmlformats.org/markup-compatibility/2006">
          <mc:Choice Requires="x14">
            <control shapeId="6147" r:id="rId6" name="Button 3">
              <controlPr defaultSize="0" print="0" autoFill="0" autoPict="0" macro="[0]!opentextblock">
                <anchor moveWithCells="1" sizeWithCells="1">
                  <from>
                    <xdr:col>25</xdr:col>
                    <xdr:colOff>68580</xdr:colOff>
                    <xdr:row>16</xdr:row>
                    <xdr:rowOff>68580</xdr:rowOff>
                  </from>
                  <to>
                    <xdr:col>25</xdr:col>
                    <xdr:colOff>1135380</xdr:colOff>
                    <xdr:row>16</xdr:row>
                    <xdr:rowOff>266700</xdr:rowOff>
                  </to>
                </anchor>
              </controlPr>
            </control>
          </mc:Choice>
        </mc:AlternateContent>
        <mc:AlternateContent xmlns:mc="http://schemas.openxmlformats.org/markup-compatibility/2006">
          <mc:Choice Requires="x14">
            <control shapeId="6148" r:id="rId7" name="Button 4">
              <controlPr defaultSize="0" print="0" autoFill="0" autoPict="0" macro="[0]!opentextblock">
                <anchor moveWithCells="1" sizeWithCells="1">
                  <from>
                    <xdr:col>25</xdr:col>
                    <xdr:colOff>68580</xdr:colOff>
                    <xdr:row>17</xdr:row>
                    <xdr:rowOff>68580</xdr:rowOff>
                  </from>
                  <to>
                    <xdr:col>25</xdr:col>
                    <xdr:colOff>1135380</xdr:colOff>
                    <xdr:row>17</xdr:row>
                    <xdr:rowOff>266700</xdr:rowOff>
                  </to>
                </anchor>
              </controlPr>
            </control>
          </mc:Choice>
        </mc:AlternateContent>
        <mc:AlternateContent xmlns:mc="http://schemas.openxmlformats.org/markup-compatibility/2006">
          <mc:Choice Requires="x14">
            <control shapeId="6149" r:id="rId8" name="Button 5">
              <controlPr defaultSize="0" print="0" autoFill="0" autoPict="0" macro="[0]!opentextblock">
                <anchor moveWithCells="1" sizeWithCells="1">
                  <from>
                    <xdr:col>25</xdr:col>
                    <xdr:colOff>68580</xdr:colOff>
                    <xdr:row>18</xdr:row>
                    <xdr:rowOff>68580</xdr:rowOff>
                  </from>
                  <to>
                    <xdr:col>25</xdr:col>
                    <xdr:colOff>1135380</xdr:colOff>
                    <xdr:row>18</xdr:row>
                    <xdr:rowOff>266700</xdr:rowOff>
                  </to>
                </anchor>
              </controlPr>
            </control>
          </mc:Choice>
        </mc:AlternateContent>
        <mc:AlternateContent xmlns:mc="http://schemas.openxmlformats.org/markup-compatibility/2006">
          <mc:Choice Requires="x14">
            <control shapeId="6150" r:id="rId9" name="Button 6">
              <controlPr defaultSize="0" print="0" autoFill="0" autoPict="0" macro="[0]!opentextblock">
                <anchor moveWithCells="1" sizeWithCells="1">
                  <from>
                    <xdr:col>25</xdr:col>
                    <xdr:colOff>68580</xdr:colOff>
                    <xdr:row>19</xdr:row>
                    <xdr:rowOff>68580</xdr:rowOff>
                  </from>
                  <to>
                    <xdr:col>25</xdr:col>
                    <xdr:colOff>1135380</xdr:colOff>
                    <xdr:row>19</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F7" workbookViewId="0">
      <selection activeCell="M15" sqref="M15"/>
    </sheetView>
  </sheetViews>
  <sheetFormatPr defaultColWidth="0" defaultRowHeight="14.4"/>
  <cols>
    <col min="1" max="3" width="0" hidden="1" customWidth="1"/>
    <col min="4" max="4" width="2.6640625" customWidth="1"/>
    <col min="5" max="5" width="9.109375" customWidth="1"/>
    <col min="6" max="6" width="14" customWidth="1"/>
    <col min="7" max="8" width="15.6640625" customWidth="1"/>
    <col min="9" max="9" width="13" hidden="1" customWidth="1"/>
    <col min="10" max="10" width="20.109375" customWidth="1"/>
    <col min="11" max="11" width="18.109375" customWidth="1"/>
    <col min="12" max="12" width="14" customWidth="1"/>
    <col min="13" max="14" width="15.6640625" customWidth="1"/>
    <col min="15" max="15" width="20.109375" customWidth="1"/>
    <col min="16" max="16" width="18.109375" customWidth="1"/>
    <col min="17" max="18" width="9.109375" customWidth="1"/>
    <col min="19" max="19" width="18.6640625" customWidth="1"/>
    <col min="20" max="20" width="11.5546875" customWidth="1"/>
    <col min="21" max="21" width="10.44140625" customWidth="1"/>
    <col min="22" max="22" width="31" customWidth="1"/>
    <col min="23" max="23" width="9.109375" customWidth="1"/>
    <col min="24" max="27" width="0" hidden="1" customWidth="1"/>
    <col min="28" max="16384" width="9.10937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1" t="s">
        <v>663</v>
      </c>
    </row>
    <row r="4" spans="1:27" ht="15.75" hidden="1" customHeight="1">
      <c r="AA4" s="381" t="s">
        <v>664</v>
      </c>
    </row>
    <row r="5" spans="1:27" ht="13.5" hidden="1" customHeight="1">
      <c r="AA5" s="381" t="s">
        <v>665</v>
      </c>
    </row>
    <row r="6" spans="1:27" ht="17.25" hidden="1" customHeight="1">
      <c r="AA6" s="381" t="s">
        <v>666</v>
      </c>
    </row>
    <row r="7" spans="1:27">
      <c r="F7" s="537"/>
      <c r="G7" s="537"/>
      <c r="H7" s="537"/>
      <c r="I7" s="385"/>
      <c r="AA7" s="381" t="s">
        <v>667</v>
      </c>
    </row>
    <row r="8" spans="1:27">
      <c r="F8" s="538"/>
      <c r="G8" s="538"/>
      <c r="H8" s="538"/>
      <c r="I8" s="387"/>
      <c r="AA8" s="381" t="s">
        <v>668</v>
      </c>
    </row>
    <row r="9" spans="1:27" ht="60" customHeight="1">
      <c r="A9" s="7"/>
      <c r="E9" s="468" t="s">
        <v>132</v>
      </c>
      <c r="F9" s="474" t="s">
        <v>650</v>
      </c>
      <c r="G9" s="534"/>
      <c r="H9" s="534"/>
      <c r="I9" s="534"/>
      <c r="J9" s="534"/>
      <c r="K9" s="475"/>
      <c r="L9" s="474" t="s">
        <v>655</v>
      </c>
      <c r="M9" s="534"/>
      <c r="N9" s="534"/>
      <c r="O9" s="534"/>
      <c r="P9" s="475"/>
      <c r="Q9" s="536" t="s">
        <v>656</v>
      </c>
      <c r="R9" s="536"/>
      <c r="S9" s="536"/>
      <c r="T9" s="536"/>
      <c r="U9" s="536"/>
      <c r="V9" s="467" t="s">
        <v>688</v>
      </c>
      <c r="AA9" s="381" t="s">
        <v>669</v>
      </c>
    </row>
    <row r="10" spans="1:27" ht="14.25" customHeight="1">
      <c r="A10" s="7"/>
      <c r="E10" s="526"/>
      <c r="F10" s="467" t="s">
        <v>651</v>
      </c>
      <c r="G10" s="467" t="s">
        <v>652</v>
      </c>
      <c r="H10" s="535" t="s">
        <v>653</v>
      </c>
      <c r="I10" s="384"/>
      <c r="J10" s="467" t="s">
        <v>654</v>
      </c>
      <c r="K10" s="532" t="s">
        <v>674</v>
      </c>
      <c r="L10" s="467" t="s">
        <v>651</v>
      </c>
      <c r="M10" s="467" t="s">
        <v>652</v>
      </c>
      <c r="N10" s="535" t="s">
        <v>653</v>
      </c>
      <c r="O10" s="467" t="s">
        <v>654</v>
      </c>
      <c r="P10" s="532" t="s">
        <v>674</v>
      </c>
      <c r="Q10" s="467" t="s">
        <v>657</v>
      </c>
      <c r="R10" s="467"/>
      <c r="S10" s="467"/>
      <c r="T10" s="467"/>
      <c r="U10" s="467"/>
      <c r="V10" s="467"/>
      <c r="AA10" s="381" t="s">
        <v>670</v>
      </c>
    </row>
    <row r="11" spans="1:27" ht="47.25" customHeight="1">
      <c r="A11" s="7"/>
      <c r="E11" s="527"/>
      <c r="F11" s="467"/>
      <c r="G11" s="467"/>
      <c r="H11" s="535"/>
      <c r="I11" s="384"/>
      <c r="J11" s="467"/>
      <c r="K11" s="533"/>
      <c r="L11" s="467"/>
      <c r="M11" s="467"/>
      <c r="N11" s="535"/>
      <c r="O11" s="467"/>
      <c r="P11" s="533"/>
      <c r="Q11" s="376" t="s">
        <v>658</v>
      </c>
      <c r="R11" s="376" t="s">
        <v>659</v>
      </c>
      <c r="S11" s="389" t="s">
        <v>690</v>
      </c>
      <c r="T11" s="376" t="s">
        <v>660</v>
      </c>
      <c r="U11" s="376" t="s">
        <v>691</v>
      </c>
      <c r="V11" s="467"/>
      <c r="AA11" s="381" t="s">
        <v>671</v>
      </c>
    </row>
    <row r="12" spans="1:27">
      <c r="E12" s="379"/>
      <c r="F12" s="540" t="s">
        <v>672</v>
      </c>
      <c r="G12" s="540"/>
      <c r="H12" s="378"/>
      <c r="I12" s="378"/>
      <c r="J12" s="378"/>
      <c r="K12" s="378"/>
      <c r="L12" s="378"/>
      <c r="M12" s="378"/>
      <c r="N12" s="378"/>
      <c r="O12" s="378"/>
      <c r="P12" s="378"/>
      <c r="Q12" s="378"/>
      <c r="R12" s="378"/>
      <c r="S12" s="378"/>
      <c r="T12" s="378"/>
      <c r="U12" s="378"/>
      <c r="V12" s="380"/>
    </row>
    <row r="13" spans="1:27" ht="21" hidden="1" customHeight="1">
      <c r="E13" s="54"/>
      <c r="F13" s="260"/>
      <c r="G13" s="260"/>
      <c r="H13" s="260"/>
      <c r="I13" s="388"/>
      <c r="J13" s="382"/>
      <c r="K13" s="260"/>
      <c r="L13" s="260"/>
      <c r="M13" s="260"/>
      <c r="N13" s="260"/>
      <c r="O13" s="383"/>
      <c r="P13" s="260"/>
      <c r="Q13" s="100"/>
      <c r="R13" s="100"/>
      <c r="S13" s="100"/>
      <c r="T13" s="75"/>
      <c r="U13" s="75"/>
      <c r="V13" s="390"/>
    </row>
    <row r="14" spans="1:27" ht="24.75" customHeight="1">
      <c r="E14" s="45"/>
      <c r="F14" s="539"/>
      <c r="G14" s="539"/>
      <c r="H14" s="539"/>
      <c r="I14" s="386"/>
      <c r="J14" s="55"/>
      <c r="K14" s="55"/>
      <c r="L14" s="55"/>
      <c r="M14" s="55"/>
      <c r="N14" s="55"/>
      <c r="O14" s="55"/>
      <c r="P14" s="55"/>
      <c r="Q14" s="55"/>
      <c r="R14" s="55"/>
      <c r="S14" s="55"/>
      <c r="T14" s="55"/>
      <c r="U14" s="55"/>
      <c r="V14" s="197"/>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opLeftCell="A6"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0.44140625" customWidth="1"/>
    <col min="17" max="18" width="14.5546875" hidden="1" customWidth="1"/>
    <col min="19" max="19" width="14.5546875" customWidth="1"/>
    <col min="20" max="20" width="19.109375" customWidth="1"/>
    <col min="21" max="21" width="15.44140625" hidden="1" customWidth="1"/>
    <col min="22" max="22" width="9.44140625" hidden="1" customWidth="1"/>
    <col min="23" max="23" width="15.44140625" hidden="1" customWidth="1"/>
    <col min="24" max="24" width="8.6640625" hidden="1" customWidth="1"/>
    <col min="25" max="25" width="15.44140625" customWidth="1"/>
    <col min="26" max="26" width="18.5546875" customWidth="1"/>
    <col min="27" max="27" width="17.109375" customWidth="1"/>
    <col min="28" max="28" width="4.44140625" customWidth="1"/>
    <col min="29" max="16383" width="1.88671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468" t="s">
        <v>142</v>
      </c>
      <c r="T9" s="511" t="s">
        <v>107</v>
      </c>
      <c r="U9" s="511" t="s">
        <v>12</v>
      </c>
      <c r="V9" s="511"/>
      <c r="W9" s="511" t="s">
        <v>13</v>
      </c>
      <c r="X9" s="511"/>
      <c r="Y9" s="511" t="s">
        <v>14</v>
      </c>
      <c r="Z9" s="467" t="s">
        <v>499</v>
      </c>
      <c r="AA9" s="528" t="s">
        <v>517</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row>
    <row r="11" spans="5:45" ht="78.75" customHeight="1">
      <c r="E11" s="527"/>
      <c r="F11" s="511"/>
      <c r="G11" s="511"/>
      <c r="H11" s="511"/>
      <c r="I11" s="511"/>
      <c r="J11" s="511"/>
      <c r="K11" s="511"/>
      <c r="L11" s="511"/>
      <c r="M11" s="32" t="s">
        <v>17</v>
      </c>
      <c r="N11" s="32" t="s">
        <v>18</v>
      </c>
      <c r="O11" s="32" t="s">
        <v>19</v>
      </c>
      <c r="P11" s="511"/>
      <c r="Q11" s="511"/>
      <c r="R11" s="527"/>
      <c r="S11" s="527"/>
      <c r="T11" s="511"/>
      <c r="U11" s="32" t="s">
        <v>20</v>
      </c>
      <c r="V11" s="41" t="s">
        <v>21</v>
      </c>
      <c r="W11" s="32" t="s">
        <v>20</v>
      </c>
      <c r="X11" s="32" t="s">
        <v>21</v>
      </c>
      <c r="Y11" s="511"/>
      <c r="Z11" s="511"/>
      <c r="AA11" s="527"/>
    </row>
    <row r="12" spans="5:45" s="299" customFormat="1" ht="19.5" customHeight="1">
      <c r="E12" s="9" t="s">
        <v>80</v>
      </c>
      <c r="F12" s="541" t="s">
        <v>29</v>
      </c>
      <c r="G12" s="542"/>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5"/>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332031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7.88671875" hidden="1" customWidth="1"/>
    <col min="25" max="25" width="15.44140625" customWidth="1"/>
    <col min="26" max="26" width="18" customWidth="1"/>
    <col min="27" max="27" width="17.109375" customWidth="1"/>
    <col min="28" max="28" width="4.109375" customWidth="1"/>
    <col min="29" max="16383" width="1.88671875" hidden="1"/>
    <col min="16384" max="16384" width="5.1093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7" t="s">
        <v>499</v>
      </c>
      <c r="AA9" s="528" t="s">
        <v>517</v>
      </c>
      <c r="AR9" t="s">
        <v>395</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c r="AR10" t="s">
        <v>396</v>
      </c>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4"/>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18"/>
  <sheetViews>
    <sheetView showGridLines="0" topLeftCell="A7" zoomScale="85" zoomScaleNormal="85" workbookViewId="0">
      <selection activeCell="D16" sqref="D16:AF16"/>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0" width="14.5546875" customWidth="1"/>
    <col min="11" max="11" width="14.5546875" hidden="1" customWidth="1"/>
    <col min="12" max="12" width="15.5546875" hidden="1" customWidth="1"/>
    <col min="13" max="13" width="13.5546875" customWidth="1"/>
    <col min="14" max="14" width="16.6640625" customWidth="1"/>
    <col min="15" max="15" width="16" customWidth="1"/>
    <col min="16" max="16" width="15.6640625" hidden="1" customWidth="1"/>
    <col min="17" max="17" width="16.109375" customWidth="1"/>
    <col min="18" max="18" width="12" customWidth="1"/>
    <col min="19" max="20" width="14.5546875" hidden="1" customWidth="1"/>
    <col min="21" max="21" width="19.109375" customWidth="1"/>
    <col min="22" max="22" width="15.44140625" customWidth="1"/>
    <col min="23" max="23" width="14.44140625" hidden="1" customWidth="1"/>
    <col min="24" max="24" width="8.5546875" hidden="1" customWidth="1"/>
    <col min="25" max="25" width="13.5546875" hidden="1" customWidth="1"/>
    <col min="26" max="26" width="8.44140625" hidden="1" customWidth="1"/>
    <col min="27" max="27" width="14.5546875" customWidth="1"/>
    <col min="28" max="28" width="19.33203125" customWidth="1"/>
    <col min="29" max="29" width="17.109375" style="290" customWidth="1"/>
    <col min="30" max="30" width="3" style="290" customWidth="1"/>
    <col min="31" max="16383" width="1" hidden="1"/>
    <col min="16384" max="16384" width="2.332031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28" t="s">
        <v>137</v>
      </c>
      <c r="E9" s="511" t="s">
        <v>34</v>
      </c>
      <c r="F9" s="511"/>
      <c r="G9" s="528" t="s">
        <v>136</v>
      </c>
      <c r="H9" s="511" t="s">
        <v>1</v>
      </c>
      <c r="I9" s="467" t="s">
        <v>426</v>
      </c>
      <c r="J9" s="511" t="s">
        <v>3</v>
      </c>
      <c r="K9" s="511" t="s">
        <v>4</v>
      </c>
      <c r="L9" s="511" t="s">
        <v>5</v>
      </c>
      <c r="M9" s="511" t="s">
        <v>6</v>
      </c>
      <c r="N9" s="511" t="s">
        <v>7</v>
      </c>
      <c r="O9" s="511" t="s">
        <v>8</v>
      </c>
      <c r="P9" s="511"/>
      <c r="Q9" s="511"/>
      <c r="R9" s="511"/>
      <c r="S9" s="511" t="s">
        <v>9</v>
      </c>
      <c r="T9" s="528" t="s">
        <v>505</v>
      </c>
      <c r="U9" s="528" t="s">
        <v>134</v>
      </c>
      <c r="V9" s="511" t="s">
        <v>107</v>
      </c>
      <c r="W9" s="511" t="s">
        <v>12</v>
      </c>
      <c r="X9" s="511"/>
      <c r="Y9" s="511" t="s">
        <v>13</v>
      </c>
      <c r="Z9" s="511"/>
      <c r="AA9" s="511" t="s">
        <v>14</v>
      </c>
      <c r="AB9" s="467" t="s">
        <v>499</v>
      </c>
      <c r="AC9" s="528" t="s">
        <v>517</v>
      </c>
      <c r="AD9"/>
      <c r="AR9" s="7"/>
      <c r="AV9" t="s">
        <v>34</v>
      </c>
    </row>
    <row r="10" spans="4:53" ht="31.5" customHeight="1">
      <c r="D10" s="526"/>
      <c r="E10" s="511"/>
      <c r="F10" s="511"/>
      <c r="G10" s="526"/>
      <c r="H10" s="511"/>
      <c r="I10" s="511"/>
      <c r="J10" s="511"/>
      <c r="K10" s="511"/>
      <c r="L10" s="511"/>
      <c r="M10" s="511"/>
      <c r="N10" s="511"/>
      <c r="O10" s="511" t="s">
        <v>15</v>
      </c>
      <c r="P10" s="511"/>
      <c r="Q10" s="511"/>
      <c r="R10" s="511" t="s">
        <v>16</v>
      </c>
      <c r="S10" s="511"/>
      <c r="T10" s="526"/>
      <c r="U10" s="526"/>
      <c r="V10" s="511"/>
      <c r="W10" s="511"/>
      <c r="X10" s="511"/>
      <c r="Y10" s="511"/>
      <c r="Z10" s="511"/>
      <c r="AA10" s="511"/>
      <c r="AB10" s="511"/>
      <c r="AC10" s="526"/>
      <c r="AD10"/>
      <c r="AR10" s="7"/>
      <c r="AV10" t="s">
        <v>437</v>
      </c>
    </row>
    <row r="11" spans="4:53" ht="78.75" customHeight="1">
      <c r="D11" s="527"/>
      <c r="E11" s="511"/>
      <c r="F11" s="511"/>
      <c r="G11" s="527"/>
      <c r="H11" s="511"/>
      <c r="I11" s="511"/>
      <c r="J11" s="511"/>
      <c r="K11" s="511"/>
      <c r="L11" s="511"/>
      <c r="M11" s="511"/>
      <c r="N11" s="511"/>
      <c r="O11" s="40" t="s">
        <v>17</v>
      </c>
      <c r="P11" s="40" t="s">
        <v>18</v>
      </c>
      <c r="Q11" s="40" t="s">
        <v>19</v>
      </c>
      <c r="R11" s="511"/>
      <c r="S11" s="511"/>
      <c r="T11" s="527"/>
      <c r="U11" s="527"/>
      <c r="V11" s="511"/>
      <c r="W11" s="40" t="s">
        <v>20</v>
      </c>
      <c r="X11" s="40" t="s">
        <v>21</v>
      </c>
      <c r="Y11" s="40" t="s">
        <v>20</v>
      </c>
      <c r="Z11" s="40" t="s">
        <v>21</v>
      </c>
      <c r="AA11" s="511"/>
      <c r="AB11" s="511"/>
      <c r="AC11" s="527"/>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3"/>
      <c r="AD13" s="289">
        <f>IF(COUNT(H17:$AA$15001)=0,"",SUM(AC1:AC65535))</f>
        <v>0</v>
      </c>
      <c r="AF13" s="374">
        <f>IF(SUM(I13:AA13)&gt;0,1,0)</f>
        <v>0</v>
      </c>
      <c r="AG13" s="374">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4">
        <v>1</v>
      </c>
      <c r="E15" s="560" t="s">
        <v>498</v>
      </c>
      <c r="F15" s="561"/>
      <c r="G15" s="561" t="s">
        <v>722</v>
      </c>
      <c r="H15" s="47" t="s">
        <v>723</v>
      </c>
      <c r="I15" s="47">
        <v>1</v>
      </c>
      <c r="J15" s="47">
        <v>900</v>
      </c>
      <c r="K15" s="47"/>
      <c r="L15" s="47"/>
      <c r="M15" s="559">
        <f>+IFERROR(IF(COUNT(J15:L15),ROUND(SUM(J15:L15),0),""),"")</f>
        <v>900</v>
      </c>
      <c r="N15" s="236">
        <f>+IFERROR(IF(COUNT(M15),ROUND(M15/'Shareholding Pattern'!$L$57*100,2),""),0)</f>
        <v>0.38</v>
      </c>
      <c r="O15" s="206">
        <f>IF(J15="","",J15)</f>
        <v>900</v>
      </c>
      <c r="P15" s="206"/>
      <c r="Q15" s="186">
        <f>+IFERROR(IF(COUNT(O15:P15),ROUND(SUM(O15,P15),2),""),"")</f>
        <v>900</v>
      </c>
      <c r="R15" s="236">
        <f>+IFERROR(IF(COUNT(Q15),ROUND(Q15/('Shareholding Pattern'!$P$58)*100,2),""),0)</f>
        <v>0.38</v>
      </c>
      <c r="S15" s="47"/>
      <c r="T15" s="47"/>
      <c r="U15" s="559" t="str">
        <f>+IFERROR(IF(COUNT(S15:T15),ROUND(SUM(S15:T15),0),""),"")</f>
        <v/>
      </c>
      <c r="V15" s="235">
        <f>+IFERROR(IF(COUNT(M15,U15),ROUND(SUM(U15,M15)/SUM('Shareholding Pattern'!$L$57,'Shareholding Pattern'!$T$57)*100,2),""),0)</f>
        <v>0.38</v>
      </c>
      <c r="W15" s="47"/>
      <c r="X15" s="235" t="str">
        <f>+IFERROR(IF(COUNT(W15),ROUND(SUM(W15)/SUM(M15)*100,2),""),0)</f>
        <v/>
      </c>
      <c r="Y15" s="47"/>
      <c r="Z15" s="235" t="str">
        <f>+IFERROR(IF(COUNT(Y15),ROUND(SUM(Y15)/SUM(M15)*100,2),""),0)</f>
        <v/>
      </c>
      <c r="AA15" s="562">
        <v>900</v>
      </c>
      <c r="AB15" s="283"/>
      <c r="AC15" s="333" t="s">
        <v>520</v>
      </c>
      <c r="AD15" s="289" t="str">
        <f>IF(COUNT(H19:$AA$15001)=0,"",SUM(AC3:AC65537))</f>
        <v/>
      </c>
      <c r="AE15" s="11"/>
      <c r="AF15" s="374">
        <f>IF(SUM(I15:AA15)&gt;0,1,0)</f>
        <v>1</v>
      </c>
    </row>
    <row r="16" spans="4:53" ht="24.75" customHeight="1">
      <c r="D16" s="194">
        <v>2</v>
      </c>
      <c r="E16" s="560" t="s">
        <v>498</v>
      </c>
      <c r="F16" s="561"/>
      <c r="G16" s="561" t="s">
        <v>724</v>
      </c>
      <c r="H16" s="47" t="s">
        <v>725</v>
      </c>
      <c r="I16" s="47">
        <v>1</v>
      </c>
      <c r="J16" s="47">
        <v>22100</v>
      </c>
      <c r="K16" s="47"/>
      <c r="L16" s="47"/>
      <c r="M16" s="559">
        <f>+IFERROR(IF(COUNT(J16:L16),ROUND(SUM(J16:L16),0),""),"")</f>
        <v>22100</v>
      </c>
      <c r="N16" s="236">
        <f>+IFERROR(IF(COUNT(M16),ROUND(M16/'Shareholding Pattern'!$L$57*100,2),""),0)</f>
        <v>9.2100000000000009</v>
      </c>
      <c r="O16" s="206">
        <f>IF(J16="","",J16)</f>
        <v>22100</v>
      </c>
      <c r="P16" s="206"/>
      <c r="Q16" s="186">
        <f>+IFERROR(IF(COUNT(O16:P16),ROUND(SUM(O16,P16),2),""),"")</f>
        <v>22100</v>
      </c>
      <c r="R16" s="236">
        <f>+IFERROR(IF(COUNT(Q16),ROUND(Q16/('Shareholding Pattern'!$P$58)*100,2),""),0)</f>
        <v>9.2100000000000009</v>
      </c>
      <c r="S16" s="47"/>
      <c r="T16" s="47"/>
      <c r="U16" s="559" t="str">
        <f>+IFERROR(IF(COUNT(S16:T16),ROUND(SUM(S16:T16),0),""),"")</f>
        <v/>
      </c>
      <c r="V16" s="235">
        <f>+IFERROR(IF(COUNT(M16,U16),ROUND(SUM(U16,M16)/SUM('Shareholding Pattern'!$L$57,'Shareholding Pattern'!$T$57)*100,2),""),0)</f>
        <v>9.2100000000000009</v>
      </c>
      <c r="W16" s="47"/>
      <c r="X16" s="235" t="str">
        <f>+IFERROR(IF(COUNT(W16),ROUND(SUM(W16)/SUM(M16)*100,2),""),0)</f>
        <v/>
      </c>
      <c r="Y16" s="47"/>
      <c r="Z16" s="235" t="str">
        <f>+IFERROR(IF(COUNT(Y16),ROUND(SUM(Y16)/SUM(M16)*100,2),""),0)</f>
        <v/>
      </c>
      <c r="AA16" s="562">
        <v>22100</v>
      </c>
      <c r="AB16" s="283"/>
      <c r="AC16" s="333" t="s">
        <v>520</v>
      </c>
      <c r="AD16" s="289" t="str">
        <f>IF(COUNT(H20:$AA$15001)=0,"",SUM(AC4:AC65538))</f>
        <v/>
      </c>
      <c r="AE16" s="11"/>
      <c r="AF16" s="374">
        <f>IF(SUM(I16:AA16)&gt;0,1,0)</f>
        <v>1</v>
      </c>
    </row>
    <row r="17" spans="4:27" ht="18.75" hidden="1" customHeight="1">
      <c r="D17" s="45"/>
      <c r="Z17" s="212"/>
    </row>
    <row r="18" spans="4:27" ht="20.100000000000001" customHeight="1">
      <c r="D18" s="59"/>
      <c r="E18" s="213" t="s">
        <v>450</v>
      </c>
      <c r="F18" s="36"/>
      <c r="G18" s="60"/>
      <c r="H18" s="213"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5">
        <f>+IFERROR(IF(COUNT(M18),ROUND(M18/'Shareholding Pattern'!$L$57*100,2),""),0)</f>
        <v>9.58</v>
      </c>
      <c r="O18" s="188">
        <f>+IFERROR(IF(COUNT(O14:O17),ROUND(SUM(O14:O17),0),""),"")</f>
        <v>23000</v>
      </c>
      <c r="P18" s="188" t="str">
        <f>+IFERROR(IF(COUNT(P14:P17),ROUND(SUM(P14:P17),0),""),"")</f>
        <v/>
      </c>
      <c r="Q18" s="188">
        <f>+IFERROR(IF(COUNT(Q14:Q17),ROUND(SUM(Q14:Q17),0),""),"")</f>
        <v>23000</v>
      </c>
      <c r="R18" s="235">
        <f>+IFERROR(IF(COUNT(Q18),ROUND(Q18/('Shareholding Pattern'!$P$58)*100,2),""),0)</f>
        <v>9.58</v>
      </c>
      <c r="S18" s="64" t="str">
        <f>+IFERROR(IF(COUNT(S14:S17),ROUND(SUM(S14:S17),0),""),"")</f>
        <v/>
      </c>
      <c r="T18" s="64" t="str">
        <f>+IFERROR(IF(COUNT(T14:T17),ROUND(SUM(T14:T17),0),""),"")</f>
        <v/>
      </c>
      <c r="U18" s="64" t="str">
        <f>+IFERROR(IF(COUNT(U14:U17),ROUND(SUM(U14:U17),0),""),"")</f>
        <v/>
      </c>
      <c r="V18" s="235">
        <f>+IFERROR(IF(COUNT(M18,U18),ROUND(SUM(U18,M18)/SUM('Shareholding Pattern'!$L$57,'Shareholding Pattern'!$T$57)*100,2),""),0)</f>
        <v>9.58</v>
      </c>
      <c r="W18" s="64" t="str">
        <f>+IFERROR(IF(COUNT(W14:W17),ROUND(SUM(W14:W17),0),""),"")</f>
        <v/>
      </c>
      <c r="X18" s="235" t="str">
        <f>+IFERROR(IF(COUNT(W18),ROUND(SUM(W18)/SUM(M18)*100,2),""),0)</f>
        <v/>
      </c>
      <c r="Y18" s="64" t="str">
        <f>+IFERROR(IF(COUNT(Y14:Y17),ROUND(SUM(Y14:Y17),0),""),"")</f>
        <v/>
      </c>
      <c r="Z18" s="235" t="str">
        <f>+IFERROR(IF(COUNT(Y18),ROUND(SUM(Y18)/SUM(M18)*100,2),""),0)</f>
        <v/>
      </c>
      <c r="AA18" s="64">
        <f>+IFERROR(IF(COUNT(AA14:AA17),ROUND(SUM(AA14:AA17),0),""),"")</f>
        <v>23000</v>
      </c>
    </row>
  </sheetData>
  <sheetProtection algorithmName="SHA-512" hashValue="gefE9cpUR9pgwqlB3FzLdqRYZO+ck6Io5kqO0NrdkRXUZVpOcRNZ/tykHuRQG2IyTT1xH5epry0nkX3QSR4QHA==" saltValue="5ZS9jVrs5QjlgChWXWsv0Q==" spinCount="100000" sheet="1" objects="1" scenarios="1"/>
  <sortState xmlns:xlrd2="http://schemas.microsoft.com/office/spreadsheetml/2017/richdata2"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xr:uid="{00000000-0002-0000-0A00-000000000000}">
      <formula1>M13</formula1>
    </dataValidation>
    <dataValidation type="whole" operator="lessThanOrEqual" allowBlank="1" showInputMessage="1" showErrorMessage="1" sqref="W13 W15:W16" xr:uid="{00000000-0002-0000-0A00-000001000000}">
      <formula1>J13</formula1>
    </dataValidation>
    <dataValidation type="whole" operator="lessThanOrEqual" allowBlank="1" showInputMessage="1" showErrorMessage="1" sqref="Y13 Y15:Y16" xr:uid="{00000000-0002-0000-0A00-000002000000}">
      <formula1>J13</formula1>
    </dataValidation>
    <dataValidation type="textLength" operator="equal" allowBlank="1" showInputMessage="1" showErrorMessage="1" prompt="[A-Z][A-Z][A-Z][A-Z][A-Z][0-9][0-9][0-9][0-9][A-Z]_x000a__x000a_In absence of PAN write : ZZZZZ9999Z" sqref="H13 H15:H16" xr:uid="{00000000-0002-0000-0A00-000003000000}">
      <formula1>10</formula1>
    </dataValidation>
    <dataValidation type="whole" operator="greaterThanOrEqual" allowBlank="1" showInputMessage="1" showErrorMessage="1" sqref="S13:T13 I13:L13 O13:P13 I15:L16 O15:P16 S15:T16" xr:uid="{00000000-0002-0000-0A00-000004000000}">
      <formula1>0</formula1>
    </dataValidation>
    <dataValidation type="list" allowBlank="1" showInputMessage="1" showErrorMessage="1" sqref="E13 E15:E16" xr:uid="{00000000-0002-0000-0A00-000005000000}">
      <formula1>$AR$1:$AR$6</formula1>
    </dataValidation>
    <dataValidation type="list" allowBlank="1" showInputMessage="1" showErrorMessage="1" sqref="F13 F15:F16" xr:uid="{00000000-0002-0000-0A00-000006000000}">
      <formula1>$AV$9:$AV$10</formula1>
    </dataValidation>
    <dataValidation type="list" allowBlank="1" showInputMessage="1" showErrorMessage="1" sqref="AC13 AC15:AC16" xr:uid="{00000000-0002-0000-0A00-000007000000}">
      <formula1>$AZ$2:$BA$2</formula1>
    </dataValidation>
  </dataValidations>
  <hyperlinks>
    <hyperlink ref="H18" location="'Shareholding Pattern'!F17" display="Total" xr:uid="{00000000-0004-0000-0A00-000000000000}"/>
    <hyperlink ref="E18"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68580</xdr:colOff>
                    <xdr:row>14</xdr:row>
                    <xdr:rowOff>68580</xdr:rowOff>
                  </from>
                  <to>
                    <xdr:col>27</xdr:col>
                    <xdr:colOff>1219200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68580</xdr:colOff>
                    <xdr:row>15</xdr:row>
                    <xdr:rowOff>68580</xdr:rowOff>
                  </from>
                  <to>
                    <xdr:col>27</xdr:col>
                    <xdr:colOff>1219200</xdr:colOff>
                    <xdr:row>15</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66406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9.109375" hidden="1" customWidth="1"/>
    <col min="25" max="25" width="15.44140625" customWidth="1"/>
    <col min="26" max="26" width="20.88671875" customWidth="1"/>
    <col min="27" max="27" width="17.109375" customWidth="1"/>
    <col min="28" max="28" width="3.44140625" customWidth="1"/>
    <col min="29" max="16383" width="1.88671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7" t="s">
        <v>499</v>
      </c>
      <c r="AA9" s="528" t="s">
        <v>517</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7.44140625" hidden="1" customWidth="1"/>
    <col min="23" max="23" width="15.44140625" hidden="1" customWidth="1"/>
    <col min="24" max="24" width="7.33203125" hidden="1" customWidth="1"/>
    <col min="25" max="25" width="15.44140625" customWidth="1"/>
    <col min="26" max="26" width="18.44140625" customWidth="1"/>
    <col min="27" max="27" width="17.109375" customWidth="1"/>
    <col min="28" max="28" width="2.554687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7" t="s">
        <v>499</v>
      </c>
      <c r="AA9" s="528" t="s">
        <v>517</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44140625" customWidth="1"/>
    <col min="17" max="18" width="14.5546875" hidden="1" customWidth="1"/>
    <col min="19" max="19" width="14.5546875" customWidth="1"/>
    <col min="20" max="20" width="19.109375" customWidth="1"/>
    <col min="21" max="21" width="15.44140625" hidden="1" customWidth="1"/>
    <col min="22" max="22" width="8.44140625" hidden="1" customWidth="1"/>
    <col min="23" max="23" width="15.44140625" hidden="1" customWidth="1"/>
    <col min="24" max="24" width="7.5546875" hidden="1" customWidth="1"/>
    <col min="25" max="25" width="15.44140625" customWidth="1"/>
    <col min="26" max="26" width="17.5546875" customWidth="1"/>
    <col min="27" max="27" width="17.109375" customWidth="1"/>
    <col min="28" max="28" width="3.33203125" customWidth="1"/>
    <col min="29" max="16384" width="1.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7" t="s">
        <v>499</v>
      </c>
      <c r="AA9" s="528" t="s">
        <v>517</v>
      </c>
      <c r="AR9" t="s">
        <v>396</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c r="AR10" t="s">
        <v>397</v>
      </c>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8.6640625" hidden="1" customWidth="1"/>
    <col min="23" max="23" width="15.44140625" hidden="1" customWidth="1"/>
    <col min="24" max="24" width="8.5546875" hidden="1" customWidth="1"/>
    <col min="25" max="25" width="15.44140625" customWidth="1"/>
    <col min="26" max="26" width="16.5546875" customWidth="1"/>
    <col min="27" max="27" width="17.109375" customWidth="1"/>
    <col min="28" max="28" width="4.6640625" customWidth="1"/>
    <col min="29" max="16384" width="2.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7" t="s">
        <v>499</v>
      </c>
      <c r="AA9" s="528" t="s">
        <v>517</v>
      </c>
      <c r="AR9" t="s">
        <v>396</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c r="AR10" t="s">
        <v>397</v>
      </c>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9"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4.4"/>
  <cols>
    <col min="1" max="2" width="2.6640625" hidden="1" customWidth="1"/>
    <col min="3" max="3" width="2.6640625" customWidth="1"/>
    <col min="4" max="4" width="9.6640625" customWidth="1"/>
    <col min="5" max="5" width="33.33203125" customWidth="1"/>
    <col min="6" max="6" width="35.6640625" hidden="1" customWidth="1"/>
    <col min="7" max="7" width="37.33203125" customWidth="1"/>
    <col min="8" max="8" width="13.6640625" customWidth="1"/>
    <col min="9" max="10" width="14.5546875" customWidth="1"/>
    <col min="11" max="11" width="14.5546875" hidden="1" customWidth="1"/>
    <col min="12" max="12" width="15.5546875" hidden="1" customWidth="1"/>
    <col min="13" max="13" width="13.5546875" customWidth="1"/>
    <col min="14" max="14" width="15.44140625" customWidth="1"/>
    <col min="15" max="15" width="16" customWidth="1"/>
    <col min="16" max="16" width="15.33203125" hidden="1" customWidth="1"/>
    <col min="17" max="17" width="14.5546875" customWidth="1"/>
    <col min="18" max="18" width="12.5546875" customWidth="1"/>
    <col min="19" max="20" width="14.5546875" hidden="1" customWidth="1"/>
    <col min="21" max="21" width="18" customWidth="1"/>
    <col min="22" max="22" width="15.44140625" customWidth="1"/>
    <col min="23" max="23" width="12.5546875" hidden="1" customWidth="1"/>
    <col min="24" max="24" width="8.5546875" hidden="1" customWidth="1"/>
    <col min="25" max="25" width="12.5546875" hidden="1" customWidth="1"/>
    <col min="26" max="26" width="8.44140625" hidden="1" customWidth="1"/>
    <col min="27" max="27" width="15.88671875" customWidth="1"/>
    <col min="28" max="28" width="16.5546875" customWidth="1"/>
    <col min="29" max="29" width="17.109375" style="290" customWidth="1"/>
    <col min="30" max="30" width="3.88671875" style="290" customWidth="1"/>
    <col min="31" max="16383" width="4" hidden="1"/>
    <col min="16384" max="16384" width="3.664062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28" t="s">
        <v>137</v>
      </c>
      <c r="E9" s="511" t="s">
        <v>34</v>
      </c>
      <c r="F9" s="511"/>
      <c r="G9" s="528" t="s">
        <v>136</v>
      </c>
      <c r="H9" s="511" t="s">
        <v>1</v>
      </c>
      <c r="I9" s="467" t="s">
        <v>426</v>
      </c>
      <c r="J9" s="511" t="s">
        <v>3</v>
      </c>
      <c r="K9" s="511" t="s">
        <v>4</v>
      </c>
      <c r="L9" s="511" t="s">
        <v>5</v>
      </c>
      <c r="M9" s="511" t="s">
        <v>6</v>
      </c>
      <c r="N9" s="511" t="s">
        <v>7</v>
      </c>
      <c r="O9" s="511" t="s">
        <v>8</v>
      </c>
      <c r="P9" s="511"/>
      <c r="Q9" s="511"/>
      <c r="R9" s="511"/>
      <c r="S9" s="511" t="s">
        <v>9</v>
      </c>
      <c r="T9" s="528" t="s">
        <v>505</v>
      </c>
      <c r="U9" s="528" t="s">
        <v>134</v>
      </c>
      <c r="V9" s="511" t="s">
        <v>107</v>
      </c>
      <c r="W9" s="511" t="s">
        <v>12</v>
      </c>
      <c r="X9" s="511"/>
      <c r="Y9" s="511" t="s">
        <v>13</v>
      </c>
      <c r="Z9" s="511"/>
      <c r="AA9" s="511" t="s">
        <v>14</v>
      </c>
      <c r="AB9" s="467" t="s">
        <v>499</v>
      </c>
      <c r="AC9" s="528" t="s">
        <v>517</v>
      </c>
      <c r="AD9"/>
      <c r="AS9" s="63"/>
      <c r="AV9" t="s">
        <v>34</v>
      </c>
    </row>
    <row r="10" spans="4:53" ht="31.5" customHeight="1">
      <c r="D10" s="526"/>
      <c r="E10" s="511"/>
      <c r="F10" s="511"/>
      <c r="G10" s="526"/>
      <c r="H10" s="511"/>
      <c r="I10" s="511"/>
      <c r="J10" s="511"/>
      <c r="K10" s="511"/>
      <c r="L10" s="511"/>
      <c r="M10" s="511"/>
      <c r="N10" s="511"/>
      <c r="O10" s="511" t="s">
        <v>15</v>
      </c>
      <c r="P10" s="511"/>
      <c r="Q10" s="511"/>
      <c r="R10" s="511" t="s">
        <v>16</v>
      </c>
      <c r="S10" s="511"/>
      <c r="T10" s="526"/>
      <c r="U10" s="526"/>
      <c r="V10" s="511"/>
      <c r="W10" s="511"/>
      <c r="X10" s="511"/>
      <c r="Y10" s="511"/>
      <c r="Z10" s="511"/>
      <c r="AA10" s="511"/>
      <c r="AB10" s="511"/>
      <c r="AC10" s="526"/>
      <c r="AD10"/>
      <c r="AS10" s="63"/>
      <c r="AV10" t="s">
        <v>437</v>
      </c>
    </row>
    <row r="11" spans="4:53" ht="78.75" customHeight="1">
      <c r="D11" s="527"/>
      <c r="E11" s="511"/>
      <c r="F11" s="511"/>
      <c r="G11" s="527"/>
      <c r="H11" s="511"/>
      <c r="I11" s="511"/>
      <c r="J11" s="511"/>
      <c r="K11" s="511"/>
      <c r="L11" s="511"/>
      <c r="M11" s="511"/>
      <c r="N11" s="511"/>
      <c r="O11" s="40" t="s">
        <v>17</v>
      </c>
      <c r="P11" s="40" t="s">
        <v>18</v>
      </c>
      <c r="Q11" s="40" t="s">
        <v>19</v>
      </c>
      <c r="R11" s="511"/>
      <c r="S11" s="511"/>
      <c r="T11" s="527"/>
      <c r="U11" s="527"/>
      <c r="V11" s="511"/>
      <c r="W11" s="40" t="s">
        <v>20</v>
      </c>
      <c r="X11" s="40" t="s">
        <v>21</v>
      </c>
      <c r="Y11" s="40" t="s">
        <v>20</v>
      </c>
      <c r="Z11" s="40" t="s">
        <v>21</v>
      </c>
      <c r="AA11" s="511"/>
      <c r="AB11" s="511"/>
      <c r="AC11" s="527"/>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2"/>
      <c r="AD13" s="289"/>
      <c r="AF13" s="374">
        <f>IF(SUM(I13:AA13),1,0)</f>
        <v>0</v>
      </c>
      <c r="AG13" s="374"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5546875" customWidth="1"/>
    <col min="14" max="14" width="16.44140625" hidden="1" customWidth="1"/>
    <col min="15" max="15" width="19.44140625" customWidth="1"/>
    <col min="16" max="16" width="12.88671875" customWidth="1"/>
    <col min="17" max="19" width="14.5546875" hidden="1" customWidth="1"/>
    <col min="20" max="20" width="19.109375" customWidth="1"/>
    <col min="21" max="21" width="15.44140625" hidden="1" customWidth="1"/>
    <col min="22" max="22" width="8.44140625" hidden="1"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4.33203125" customWidth="1"/>
    <col min="17" max="19" width="14.5546875" hidden="1" customWidth="1"/>
    <col min="20" max="20" width="19.109375" customWidth="1"/>
    <col min="21" max="21" width="15.44140625" hidden="1" customWidth="1"/>
    <col min="22" max="22" width="8.6640625" hidden="1"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 customWidth="1"/>
    <col min="14" max="14" width="17.6640625" hidden="1" customWidth="1"/>
    <col min="15" max="15" width="16.44140625" customWidth="1"/>
    <col min="16" max="16" width="9"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7.109375" hidden="1" customWidth="1"/>
    <col min="15" max="15" width="17.44140625" customWidth="1"/>
    <col min="16" max="16" width="9.44140625" customWidth="1"/>
    <col min="17" max="19" width="14.5546875" hidden="1" customWidth="1"/>
    <col min="20" max="20" width="19.109375" customWidth="1"/>
    <col min="21" max="21" width="15.44140625" hidden="1" customWidth="1"/>
    <col min="22" max="22" width="8.33203125" hidden="1"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 hidden="1" customWidth="1"/>
    <col min="15" max="15" width="17.44140625" customWidth="1"/>
    <col min="16" max="16" width="9.33203125" customWidth="1"/>
    <col min="17" max="19" width="14.5546875" hidden="1" customWidth="1"/>
    <col min="20" max="20" width="19.109375" customWidth="1"/>
    <col min="21" max="21" width="15.44140625" hidden="1" customWidth="1"/>
    <col min="22" max="22" width="9" hidden="1"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5.6">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5" sqref="F15"/>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44140625" hidden="1" customWidth="1"/>
    <col min="15" max="15" width="18.33203125" customWidth="1"/>
    <col min="16" max="16" width="9.6640625" customWidth="1"/>
    <col min="17" max="19" width="14.5546875" hidden="1" customWidth="1"/>
    <col min="20" max="20" width="19.109375" customWidth="1"/>
    <col min="21" max="21" width="15.44140625" hidden="1" customWidth="1"/>
    <col min="22" max="22" width="9" hidden="1"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H13:J13 M13:N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8.33203125" customWidth="1"/>
    <col min="14" max="14" width="16.5546875" hidden="1" customWidth="1"/>
    <col min="15" max="15" width="16.44140625" customWidth="1"/>
    <col min="16" max="16" width="9.8867187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6640625" customWidth="1"/>
    <col min="14" max="14" width="15.6640625" hidden="1" customWidth="1"/>
    <col min="15" max="15" width="17.6640625" customWidth="1"/>
    <col min="16" max="16" width="9.44140625" customWidth="1"/>
    <col min="17" max="19" width="14.5546875" hidden="1" customWidth="1"/>
    <col min="20" max="20" width="19.109375" customWidth="1"/>
    <col min="21" max="21" width="15.44140625" hidden="1" customWidth="1"/>
    <col min="22" max="22" width="8.109375" hidden="1"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467" t="s">
        <v>136</v>
      </c>
      <c r="G9" s="511" t="s">
        <v>1</v>
      </c>
      <c r="H9" s="467" t="s">
        <v>3</v>
      </c>
      <c r="I9" s="511" t="s">
        <v>4</v>
      </c>
      <c r="J9" s="511" t="s">
        <v>5</v>
      </c>
      <c r="K9" s="511" t="s">
        <v>6</v>
      </c>
      <c r="L9" s="511" t="s">
        <v>7</v>
      </c>
      <c r="M9" s="511" t="s">
        <v>8</v>
      </c>
      <c r="N9" s="511"/>
      <c r="O9" s="511"/>
      <c r="P9" s="511"/>
      <c r="Q9" s="528" t="s">
        <v>505</v>
      </c>
      <c r="R9" s="511" t="s">
        <v>10</v>
      </c>
      <c r="S9" s="528" t="s">
        <v>134</v>
      </c>
      <c r="T9" s="511" t="s">
        <v>107</v>
      </c>
      <c r="U9" s="511" t="s">
        <v>12</v>
      </c>
      <c r="V9" s="511"/>
      <c r="W9" s="511" t="s">
        <v>14</v>
      </c>
      <c r="X9" s="467" t="s">
        <v>499</v>
      </c>
      <c r="AR9" t="s">
        <v>404</v>
      </c>
    </row>
    <row r="10" spans="5:44" ht="31.5" customHeight="1">
      <c r="E10" s="526"/>
      <c r="F10" s="511"/>
      <c r="G10" s="511"/>
      <c r="H10" s="511"/>
      <c r="I10" s="511"/>
      <c r="J10" s="511"/>
      <c r="K10" s="511"/>
      <c r="L10" s="511"/>
      <c r="M10" s="511" t="s">
        <v>15</v>
      </c>
      <c r="N10" s="511"/>
      <c r="O10" s="511"/>
      <c r="P10" s="511" t="s">
        <v>16</v>
      </c>
      <c r="Q10" s="526"/>
      <c r="R10" s="511"/>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27"/>
      <c r="R11" s="511"/>
      <c r="S11" s="527"/>
      <c r="T11" s="511"/>
      <c r="U11" s="40" t="s">
        <v>20</v>
      </c>
      <c r="V11" s="40" t="s">
        <v>21</v>
      </c>
      <c r="W11" s="511"/>
      <c r="X11" s="511"/>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opLeftCell="A7" zoomScale="70" zoomScaleNormal="70" workbookViewId="0">
      <selection activeCell="F16" sqref="F16"/>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0" width="14.5546875" customWidth="1"/>
    <col min="11" max="11" width="14.5546875" hidden="1" customWidth="1"/>
    <col min="12" max="12" width="15.5546875" hidden="1" customWidth="1"/>
    <col min="13" max="13" width="15" customWidth="1"/>
    <col min="14" max="14" width="15.44140625" customWidth="1"/>
    <col min="15" max="15" width="16" customWidth="1"/>
    <col min="16" max="16" width="16.44140625" hidden="1" customWidth="1"/>
    <col min="17" max="17" width="15.33203125" customWidth="1"/>
    <col min="18" max="18" width="13" customWidth="1"/>
    <col min="19" max="20" width="14.5546875" hidden="1" customWidth="1"/>
    <col min="21" max="21" width="19.109375" hidden="1" customWidth="1"/>
    <col min="22" max="22" width="15.44140625" customWidth="1"/>
    <col min="23" max="23" width="13" hidden="1" customWidth="1"/>
    <col min="24" max="24" width="8.33203125" hidden="1" customWidth="1"/>
    <col min="25" max="25" width="14.5546875" customWidth="1"/>
    <col min="26" max="26" width="16.88671875" customWidth="1"/>
    <col min="27" max="27" width="4.33203125" customWidth="1"/>
    <col min="28" max="28" width="2.5546875" hidden="1"/>
    <col min="29" max="16383" width="5.109375" hidden="1"/>
    <col min="16384" max="16384" width="4.10937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28" t="s">
        <v>137</v>
      </c>
      <c r="E9" s="528" t="s">
        <v>34</v>
      </c>
      <c r="F9" s="528" t="s">
        <v>434</v>
      </c>
      <c r="G9" s="468" t="s">
        <v>136</v>
      </c>
      <c r="H9" s="511" t="s">
        <v>1</v>
      </c>
      <c r="I9" s="468" t="s">
        <v>426</v>
      </c>
      <c r="J9" s="511" t="s">
        <v>3</v>
      </c>
      <c r="K9" s="511" t="s">
        <v>4</v>
      </c>
      <c r="L9" s="511" t="s">
        <v>5</v>
      </c>
      <c r="M9" s="511" t="s">
        <v>6</v>
      </c>
      <c r="N9" s="511" t="s">
        <v>7</v>
      </c>
      <c r="O9" s="511" t="s">
        <v>8</v>
      </c>
      <c r="P9" s="511"/>
      <c r="Q9" s="511"/>
      <c r="R9" s="511"/>
      <c r="S9" s="511" t="s">
        <v>9</v>
      </c>
      <c r="T9" s="528" t="s">
        <v>505</v>
      </c>
      <c r="U9" s="528" t="s">
        <v>138</v>
      </c>
      <c r="V9" s="511" t="s">
        <v>107</v>
      </c>
      <c r="W9" s="511" t="s">
        <v>12</v>
      </c>
      <c r="X9" s="511"/>
      <c r="Y9" s="511" t="s">
        <v>14</v>
      </c>
      <c r="Z9" s="467" t="s">
        <v>499</v>
      </c>
      <c r="AG9" s="63" t="s">
        <v>406</v>
      </c>
      <c r="AV9" t="s">
        <v>34</v>
      </c>
    </row>
    <row r="10" spans="4:57" ht="31.5" customHeight="1">
      <c r="D10" s="526"/>
      <c r="E10" s="526"/>
      <c r="F10" s="526"/>
      <c r="G10" s="469"/>
      <c r="H10" s="511"/>
      <c r="I10" s="526"/>
      <c r="J10" s="511"/>
      <c r="K10" s="511"/>
      <c r="L10" s="511"/>
      <c r="M10" s="511"/>
      <c r="N10" s="511"/>
      <c r="O10" s="511" t="s">
        <v>15</v>
      </c>
      <c r="P10" s="511"/>
      <c r="Q10" s="511"/>
      <c r="R10" s="511" t="s">
        <v>16</v>
      </c>
      <c r="S10" s="511"/>
      <c r="T10" s="526"/>
      <c r="U10" s="523"/>
      <c r="V10" s="511"/>
      <c r="W10" s="511"/>
      <c r="X10" s="511"/>
      <c r="Y10" s="511"/>
      <c r="Z10" s="511"/>
      <c r="AG10" s="63" t="s">
        <v>397</v>
      </c>
      <c r="AV10" t="s">
        <v>437</v>
      </c>
    </row>
    <row r="11" spans="4:57" ht="72">
      <c r="D11" s="527"/>
      <c r="E11" s="527"/>
      <c r="F11" s="527"/>
      <c r="G11" s="470"/>
      <c r="H11" s="511"/>
      <c r="I11" s="527"/>
      <c r="J11" s="511"/>
      <c r="K11" s="511"/>
      <c r="L11" s="511"/>
      <c r="M11" s="511"/>
      <c r="N11" s="511"/>
      <c r="O11" s="40" t="s">
        <v>17</v>
      </c>
      <c r="P11" s="40" t="s">
        <v>18</v>
      </c>
      <c r="Q11" s="40" t="s">
        <v>19</v>
      </c>
      <c r="R11" s="511"/>
      <c r="S11" s="511"/>
      <c r="T11" s="527"/>
      <c r="U11" s="524"/>
      <c r="V11" s="511"/>
      <c r="W11" s="40" t="s">
        <v>20</v>
      </c>
      <c r="X11" s="40" t="s">
        <v>21</v>
      </c>
      <c r="Y11" s="511"/>
      <c r="Z11" s="511"/>
      <c r="AG11" s="63" t="s">
        <v>402</v>
      </c>
    </row>
    <row r="12" spans="4:57" ht="15.6">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password="F884"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6640625" customWidth="1"/>
    <col min="13" max="13" width="15.44140625" customWidth="1"/>
    <col min="14" max="14" width="15.44140625" hidden="1" customWidth="1"/>
    <col min="15" max="15" width="17.44140625" customWidth="1"/>
    <col min="16" max="16" width="14.5546875" customWidth="1"/>
    <col min="17" max="17" width="15.5546875" hidden="1" customWidth="1"/>
    <col min="18" max="18" width="16.44140625" hidden="1" customWidth="1"/>
    <col min="19" max="19" width="13.6640625" hidden="1" customWidth="1"/>
    <col min="20" max="20" width="14.5546875" customWidth="1"/>
    <col min="21" max="21" width="14.5546875" hidden="1" customWidth="1"/>
    <col min="22" max="22" width="8.33203125" hidden="1"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password="F884"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A7" zoomScale="90" zoomScaleNormal="90" workbookViewId="0">
      <selection activeCell="E21" sqref="E21:AC21"/>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0.88671875" customWidth="1"/>
    <col min="17" max="19" width="14.5546875" hidden="1" customWidth="1"/>
    <col min="20" max="20" width="19.109375" customWidth="1"/>
    <col min="21" max="21" width="15.44140625" hidden="1" customWidth="1"/>
    <col min="22" max="22" width="10.109375" hidden="1"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SUM(AC22:AC65542)</f>
        <v>0</v>
      </c>
    </row>
    <row r="14" spans="5:30" ht="24.9" customHeight="1">
      <c r="E14" s="42"/>
      <c r="F14" s="43"/>
      <c r="G14" s="264" t="s">
        <v>494</v>
      </c>
      <c r="H14" s="43"/>
      <c r="I14" s="43"/>
      <c r="J14" s="43"/>
      <c r="K14" s="43"/>
      <c r="L14" s="43"/>
      <c r="M14" s="43"/>
      <c r="N14" s="43"/>
      <c r="O14" s="43"/>
      <c r="P14" s="43"/>
      <c r="Q14" s="43"/>
      <c r="R14" s="43"/>
      <c r="S14" s="43"/>
      <c r="T14" s="43"/>
      <c r="U14" s="43"/>
      <c r="V14" s="43"/>
      <c r="W14" s="43"/>
      <c r="X14" s="44"/>
    </row>
    <row r="15" spans="5:30" ht="24.9" customHeight="1">
      <c r="E15" s="194">
        <v>1</v>
      </c>
      <c r="F15" s="563" t="s">
        <v>726</v>
      </c>
      <c r="G15" s="558" t="s">
        <v>727</v>
      </c>
      <c r="H15" s="47">
        <v>3350</v>
      </c>
      <c r="I15" s="47"/>
      <c r="J15" s="47"/>
      <c r="K15" s="556">
        <f t="shared" ref="K15:K21" si="0">+IFERROR(IF(COUNT(H15:J15),ROUND(SUM(H15:J15),0),""),"")</f>
        <v>3350</v>
      </c>
      <c r="L15" s="51">
        <f>+IFERROR(IF(COUNT(K15),ROUND(K15/'Shareholding Pattern'!$L$57*100,2),""),"")</f>
        <v>1.4</v>
      </c>
      <c r="M15" s="206">
        <f t="shared" ref="M15:M21" si="1">IF(H15="","",H15)</f>
        <v>3350</v>
      </c>
      <c r="N15" s="206"/>
      <c r="O15" s="284">
        <f t="shared" ref="O15:O21" si="2">+IFERROR(IF(COUNT(M15:N15),ROUND(SUM(M15,N15),2),""),"")</f>
        <v>3350</v>
      </c>
      <c r="P15" s="51">
        <f>+IFERROR(IF(COUNT(O15),ROUND(O15/('Shareholding Pattern'!$P$58)*100,2),""),"")</f>
        <v>1.4</v>
      </c>
      <c r="Q15" s="47"/>
      <c r="R15" s="47"/>
      <c r="S15" s="556"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3"/>
      <c r="Y15" s="11"/>
      <c r="Z15" s="11"/>
      <c r="AA15" s="11"/>
      <c r="AB15" s="11"/>
      <c r="AC15" s="11">
        <f t="shared" ref="AC15:AC21" si="5">IF(SUM(H15:W15)&gt;0,1,0)</f>
        <v>1</v>
      </c>
    </row>
    <row r="16" spans="5:30" ht="24.9" customHeight="1">
      <c r="E16" s="194">
        <v>2</v>
      </c>
      <c r="F16" s="563" t="s">
        <v>728</v>
      </c>
      <c r="G16" s="558" t="s">
        <v>729</v>
      </c>
      <c r="H16" s="47">
        <v>4500</v>
      </c>
      <c r="I16" s="47"/>
      <c r="J16" s="47"/>
      <c r="K16" s="556">
        <f t="shared" si="0"/>
        <v>4500</v>
      </c>
      <c r="L16" s="51">
        <f>+IFERROR(IF(COUNT(K16),ROUND(K16/'Shareholding Pattern'!$L$57*100,2),""),"")</f>
        <v>1.88</v>
      </c>
      <c r="M16" s="206">
        <f t="shared" si="1"/>
        <v>4500</v>
      </c>
      <c r="N16" s="206"/>
      <c r="O16" s="284">
        <f t="shared" si="2"/>
        <v>4500</v>
      </c>
      <c r="P16" s="51">
        <f>+IFERROR(IF(COUNT(O16),ROUND(O16/('Shareholding Pattern'!$P$58)*100,2),""),"")</f>
        <v>1.88</v>
      </c>
      <c r="Q16" s="47"/>
      <c r="R16" s="47"/>
      <c r="S16" s="556" t="str">
        <f t="shared" si="3"/>
        <v/>
      </c>
      <c r="T16" s="17">
        <f>+IFERROR(IF(COUNT(K16,S16),ROUND(SUM(S16,K16)/SUM('Shareholding Pattern'!$L$57,'Shareholding Pattern'!$T$57)*100,2),""),"")</f>
        <v>1.88</v>
      </c>
      <c r="U16" s="47"/>
      <c r="V16" s="17" t="str">
        <f t="shared" si="4"/>
        <v/>
      </c>
      <c r="W16" s="47">
        <v>4500</v>
      </c>
      <c r="X16" s="283"/>
      <c r="Y16" s="11"/>
      <c r="Z16" s="11"/>
      <c r="AA16" s="11"/>
      <c r="AB16" s="11"/>
      <c r="AC16" s="11">
        <f t="shared" si="5"/>
        <v>1</v>
      </c>
    </row>
    <row r="17" spans="5:29" ht="24.9" customHeight="1">
      <c r="E17" s="194">
        <v>3</v>
      </c>
      <c r="F17" s="563" t="s">
        <v>730</v>
      </c>
      <c r="G17" s="558" t="s">
        <v>731</v>
      </c>
      <c r="H17" s="47">
        <v>4510</v>
      </c>
      <c r="I17" s="47"/>
      <c r="J17" s="47"/>
      <c r="K17" s="556">
        <f t="shared" si="0"/>
        <v>4510</v>
      </c>
      <c r="L17" s="51">
        <f>+IFERROR(IF(COUNT(K17),ROUND(K17/'Shareholding Pattern'!$L$57*100,2),""),"")</f>
        <v>1.88</v>
      </c>
      <c r="M17" s="206">
        <f t="shared" si="1"/>
        <v>4510</v>
      </c>
      <c r="N17" s="206"/>
      <c r="O17" s="284">
        <f t="shared" si="2"/>
        <v>4510</v>
      </c>
      <c r="P17" s="51">
        <f>+IFERROR(IF(COUNT(O17),ROUND(O17/('Shareholding Pattern'!$P$58)*100,2),""),"")</f>
        <v>1.88</v>
      </c>
      <c r="Q17" s="47"/>
      <c r="R17" s="47"/>
      <c r="S17" s="556" t="str">
        <f t="shared" si="3"/>
        <v/>
      </c>
      <c r="T17" s="17">
        <f>+IFERROR(IF(COUNT(K17,S17),ROUND(SUM(S17,K17)/SUM('Shareholding Pattern'!$L$57,'Shareholding Pattern'!$T$57)*100,2),""),"")</f>
        <v>1.88</v>
      </c>
      <c r="U17" s="47"/>
      <c r="V17" s="17" t="str">
        <f t="shared" si="4"/>
        <v/>
      </c>
      <c r="W17" s="47">
        <v>4510</v>
      </c>
      <c r="X17" s="283"/>
      <c r="Y17" s="11"/>
      <c r="Z17" s="11"/>
      <c r="AA17" s="11"/>
      <c r="AB17" s="11"/>
      <c r="AC17" s="11">
        <f t="shared" si="5"/>
        <v>1</v>
      </c>
    </row>
    <row r="18" spans="5:29" ht="24.9" customHeight="1">
      <c r="E18" s="194">
        <v>4</v>
      </c>
      <c r="F18" s="563" t="s">
        <v>732</v>
      </c>
      <c r="G18" s="558" t="s">
        <v>733</v>
      </c>
      <c r="H18" s="47">
        <v>7000</v>
      </c>
      <c r="I18" s="47"/>
      <c r="J18" s="47"/>
      <c r="K18" s="556">
        <f t="shared" si="0"/>
        <v>7000</v>
      </c>
      <c r="L18" s="51">
        <f>+IFERROR(IF(COUNT(K18),ROUND(K18/'Shareholding Pattern'!$L$57*100,2),""),"")</f>
        <v>2.92</v>
      </c>
      <c r="M18" s="206">
        <f t="shared" si="1"/>
        <v>7000</v>
      </c>
      <c r="N18" s="206"/>
      <c r="O18" s="284">
        <f t="shared" si="2"/>
        <v>7000</v>
      </c>
      <c r="P18" s="51">
        <f>+IFERROR(IF(COUNT(O18),ROUND(O18/('Shareholding Pattern'!$P$58)*100,2),""),"")</f>
        <v>2.92</v>
      </c>
      <c r="Q18" s="47"/>
      <c r="R18" s="47"/>
      <c r="S18" s="556" t="str">
        <f t="shared" si="3"/>
        <v/>
      </c>
      <c r="T18" s="17">
        <f>+IFERROR(IF(COUNT(K18,S18),ROUND(SUM(S18,K18)/SUM('Shareholding Pattern'!$L$57,'Shareholding Pattern'!$T$57)*100,2),""),"")</f>
        <v>2.92</v>
      </c>
      <c r="U18" s="47"/>
      <c r="V18" s="17" t="str">
        <f t="shared" si="4"/>
        <v/>
      </c>
      <c r="W18" s="47">
        <v>7000</v>
      </c>
      <c r="X18" s="283"/>
      <c r="Y18" s="11"/>
      <c r="Z18" s="11"/>
      <c r="AA18" s="11"/>
      <c r="AB18" s="11"/>
      <c r="AC18" s="11">
        <f t="shared" si="5"/>
        <v>1</v>
      </c>
    </row>
    <row r="19" spans="5:29" ht="24.9" customHeight="1">
      <c r="E19" s="194">
        <v>5</v>
      </c>
      <c r="F19" s="563" t="s">
        <v>734</v>
      </c>
      <c r="G19" s="558" t="s">
        <v>735</v>
      </c>
      <c r="H19" s="47">
        <v>8000</v>
      </c>
      <c r="I19" s="47"/>
      <c r="J19" s="47"/>
      <c r="K19" s="556">
        <f t="shared" si="0"/>
        <v>8000</v>
      </c>
      <c r="L19" s="51">
        <f>+IFERROR(IF(COUNT(K19),ROUND(K19/'Shareholding Pattern'!$L$57*100,2),""),"")</f>
        <v>3.33</v>
      </c>
      <c r="M19" s="206">
        <f t="shared" si="1"/>
        <v>8000</v>
      </c>
      <c r="N19" s="206"/>
      <c r="O19" s="284">
        <f t="shared" si="2"/>
        <v>8000</v>
      </c>
      <c r="P19" s="51">
        <f>+IFERROR(IF(COUNT(O19),ROUND(O19/('Shareholding Pattern'!$P$58)*100,2),""),"")</f>
        <v>3.33</v>
      </c>
      <c r="Q19" s="47"/>
      <c r="R19" s="47"/>
      <c r="S19" s="556" t="str">
        <f t="shared" si="3"/>
        <v/>
      </c>
      <c r="T19" s="17">
        <f>+IFERROR(IF(COUNT(K19,S19),ROUND(SUM(S19,K19)/SUM('Shareholding Pattern'!$L$57,'Shareholding Pattern'!$T$57)*100,2),""),"")</f>
        <v>3.33</v>
      </c>
      <c r="U19" s="47"/>
      <c r="V19" s="17" t="str">
        <f t="shared" si="4"/>
        <v/>
      </c>
      <c r="W19" s="47">
        <v>8000</v>
      </c>
      <c r="X19" s="283"/>
      <c r="Y19" s="11"/>
      <c r="Z19" s="11"/>
      <c r="AA19" s="11"/>
      <c r="AB19" s="11"/>
      <c r="AC19" s="11">
        <f t="shared" si="5"/>
        <v>1</v>
      </c>
    </row>
    <row r="20" spans="5:29" ht="24.9" customHeight="1">
      <c r="E20" s="194">
        <v>6</v>
      </c>
      <c r="F20" s="563" t="s">
        <v>736</v>
      </c>
      <c r="G20" s="558" t="s">
        <v>737</v>
      </c>
      <c r="H20" s="47">
        <v>13400</v>
      </c>
      <c r="I20" s="47"/>
      <c r="J20" s="47"/>
      <c r="K20" s="556">
        <f t="shared" si="0"/>
        <v>13400</v>
      </c>
      <c r="L20" s="51">
        <f>+IFERROR(IF(COUNT(K20),ROUND(K20/'Shareholding Pattern'!$L$57*100,2),""),"")</f>
        <v>5.58</v>
      </c>
      <c r="M20" s="206">
        <f t="shared" si="1"/>
        <v>13400</v>
      </c>
      <c r="N20" s="206"/>
      <c r="O20" s="284">
        <f t="shared" si="2"/>
        <v>13400</v>
      </c>
      <c r="P20" s="51">
        <f>+IFERROR(IF(COUNT(O20),ROUND(O20/('Shareholding Pattern'!$P$58)*100,2),""),"")</f>
        <v>5.58</v>
      </c>
      <c r="Q20" s="47"/>
      <c r="R20" s="47"/>
      <c r="S20" s="556" t="str">
        <f t="shared" si="3"/>
        <v/>
      </c>
      <c r="T20" s="17">
        <f>+IFERROR(IF(COUNT(K20,S20),ROUND(SUM(S20,K20)/SUM('Shareholding Pattern'!$L$57,'Shareholding Pattern'!$T$57)*100,2),""),"")</f>
        <v>5.58</v>
      </c>
      <c r="U20" s="47"/>
      <c r="V20" s="17" t="str">
        <f t="shared" si="4"/>
        <v/>
      </c>
      <c r="W20" s="47">
        <v>13400</v>
      </c>
      <c r="X20" s="283"/>
      <c r="Y20" s="11"/>
      <c r="Z20" s="11"/>
      <c r="AA20" s="11"/>
      <c r="AB20" s="11"/>
      <c r="AC20" s="11">
        <f t="shared" si="5"/>
        <v>1</v>
      </c>
    </row>
    <row r="21" spans="5:29" ht="24.9" customHeight="1">
      <c r="E21" s="194">
        <v>7</v>
      </c>
      <c r="F21" s="563" t="s">
        <v>738</v>
      </c>
      <c r="G21" s="558" t="s">
        <v>739</v>
      </c>
      <c r="H21" s="47">
        <v>16650</v>
      </c>
      <c r="I21" s="47"/>
      <c r="J21" s="47"/>
      <c r="K21" s="556">
        <f t="shared" si="0"/>
        <v>16650</v>
      </c>
      <c r="L21" s="51">
        <f>+IFERROR(IF(COUNT(K21),ROUND(K21/'Shareholding Pattern'!$L$57*100,2),""),"")</f>
        <v>6.94</v>
      </c>
      <c r="M21" s="206">
        <f t="shared" si="1"/>
        <v>16650</v>
      </c>
      <c r="N21" s="206"/>
      <c r="O21" s="284">
        <f t="shared" si="2"/>
        <v>16650</v>
      </c>
      <c r="P21" s="51">
        <f>+IFERROR(IF(COUNT(O21),ROUND(O21/('Shareholding Pattern'!$P$58)*100,2),""),"")</f>
        <v>6.94</v>
      </c>
      <c r="Q21" s="47"/>
      <c r="R21" s="47"/>
      <c r="S21" s="556" t="str">
        <f t="shared" si="3"/>
        <v/>
      </c>
      <c r="T21" s="17">
        <f>+IFERROR(IF(COUNT(K21,S21),ROUND(SUM(S21,K21)/SUM('Shareholding Pattern'!$L$57,'Shareholding Pattern'!$T$57)*100,2),""),"")</f>
        <v>6.94</v>
      </c>
      <c r="U21" s="47"/>
      <c r="V21" s="17" t="str">
        <f t="shared" si="4"/>
        <v/>
      </c>
      <c r="W21" s="47">
        <v>16650</v>
      </c>
      <c r="X21" s="283"/>
      <c r="Y21" s="11"/>
      <c r="Z21" s="11"/>
      <c r="AA21" s="11"/>
      <c r="AB21" s="11"/>
      <c r="AC21" s="11">
        <f t="shared" si="5"/>
        <v>1</v>
      </c>
    </row>
    <row r="22" spans="5:29" ht="24.9" hidden="1" customHeight="1">
      <c r="E22" s="12"/>
      <c r="F22" s="13"/>
      <c r="G22" s="13"/>
      <c r="H22" s="13"/>
      <c r="I22" s="13"/>
      <c r="J22" s="13"/>
      <c r="K22" s="13"/>
      <c r="L22" s="13"/>
      <c r="M22" s="13"/>
      <c r="N22" s="13"/>
      <c r="O22" s="13"/>
      <c r="P22" s="13"/>
      <c r="Q22" s="13"/>
      <c r="R22" s="13"/>
      <c r="S22" s="13"/>
      <c r="T22" s="13"/>
      <c r="U22" s="13"/>
      <c r="V22" s="13"/>
      <c r="W22" s="197"/>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algorithmName="SHA-512" hashValue="EOiWd9OiVVEfo9Zh2resfOx7h+dzTBG8eH4QaqYK3nEFlv8aKahei/JQ02ajck9NgT43RgJ4MNtMJ238GTlDqA==" saltValue="moX08WIfbD6BZXw72OS2XQ==" spinCount="100000"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Q15:R21 M15:N21 H15:J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68580</xdr:colOff>
                    <xdr:row>14</xdr:row>
                    <xdr:rowOff>68580</xdr:rowOff>
                  </from>
                  <to>
                    <xdr:col>23</xdr:col>
                    <xdr:colOff>1264920</xdr:colOff>
                    <xdr:row>14</xdr:row>
                    <xdr:rowOff>266700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68580</xdr:colOff>
                    <xdr:row>15</xdr:row>
                    <xdr:rowOff>68580</xdr:rowOff>
                  </from>
                  <to>
                    <xdr:col>23</xdr:col>
                    <xdr:colOff>1264920</xdr:colOff>
                    <xdr:row>15</xdr:row>
                    <xdr:rowOff>266700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68580</xdr:colOff>
                    <xdr:row>16</xdr:row>
                    <xdr:rowOff>68580</xdr:rowOff>
                  </from>
                  <to>
                    <xdr:col>23</xdr:col>
                    <xdr:colOff>1264920</xdr:colOff>
                    <xdr:row>16</xdr:row>
                    <xdr:rowOff>266700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68580</xdr:colOff>
                    <xdr:row>17</xdr:row>
                    <xdr:rowOff>68580</xdr:rowOff>
                  </from>
                  <to>
                    <xdr:col>23</xdr:col>
                    <xdr:colOff>1264920</xdr:colOff>
                    <xdr:row>17</xdr:row>
                    <xdr:rowOff>266700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68580</xdr:colOff>
                    <xdr:row>18</xdr:row>
                    <xdr:rowOff>68580</xdr:rowOff>
                  </from>
                  <to>
                    <xdr:col>23</xdr:col>
                    <xdr:colOff>1264920</xdr:colOff>
                    <xdr:row>18</xdr:row>
                    <xdr:rowOff>266700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68580</xdr:colOff>
                    <xdr:row>19</xdr:row>
                    <xdr:rowOff>68580</xdr:rowOff>
                  </from>
                  <to>
                    <xdr:col>23</xdr:col>
                    <xdr:colOff>1264920</xdr:colOff>
                    <xdr:row>19</xdr:row>
                    <xdr:rowOff>266700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68580</xdr:colOff>
                    <xdr:row>20</xdr:row>
                    <xdr:rowOff>68580</xdr:rowOff>
                  </from>
                  <to>
                    <xdr:col>23</xdr:col>
                    <xdr:colOff>1264920</xdr:colOff>
                    <xdr:row>20</xdr:row>
                    <xdr:rowOff>266700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9.55468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8" customWidth="1"/>
    <col min="16" max="16" width="9.109375"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4"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password="F884"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5546875" customWidth="1"/>
    <col min="13" max="13" width="15.44140625" customWidth="1"/>
    <col min="14" max="14" width="16" hidden="1" customWidth="1"/>
    <col min="15" max="15" width="16.44140625" customWidth="1"/>
    <col min="16" max="16" width="10.3320312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4"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88671875" customWidth="1"/>
    <col min="16" max="16" width="10.33203125" customWidth="1"/>
    <col min="17" max="19" width="14.5546875" hidden="1" customWidth="1"/>
    <col min="20" max="20" width="19.109375" customWidth="1"/>
    <col min="21" max="21" width="14.6640625" hidden="1" customWidth="1"/>
    <col min="22" max="22" width="8.44140625" hidden="1"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33203125" customWidth="1"/>
    <col min="16" max="16" width="10" customWidth="1"/>
    <col min="17" max="19" width="14.5546875" hidden="1" customWidth="1"/>
    <col min="20" max="20" width="19.109375" customWidth="1"/>
    <col min="21" max="21" width="15.44140625" hidden="1" customWidth="1"/>
    <col min="22" max="22" width="8.109375" hidden="1" customWidth="1"/>
    <col min="23" max="23" width="15.44140625" customWidth="1"/>
    <col min="24" max="24" width="20.44140625" customWidth="1"/>
    <col min="25" max="25" width="2" customWidth="1"/>
    <col min="26" max="26" width="2.109375" customWidth="1"/>
    <col min="27" max="16383" width="3.66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ht="15.6">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topLeftCell="A7" zoomScale="85" zoomScaleNormal="85" workbookViewId="0">
      <selection activeCell="D15" sqref="D15:AC15"/>
    </sheetView>
  </sheetViews>
  <sheetFormatPr defaultColWidth="0" defaultRowHeight="14.4"/>
  <cols>
    <col min="1" max="1" width="2.33203125" customWidth="1"/>
    <col min="2" max="2" width="2.109375" hidden="1" customWidth="1"/>
    <col min="3" max="3" width="2" hidden="1" customWidth="1"/>
    <col min="4" max="4" width="7.109375" customWidth="1"/>
    <col min="5" max="5" width="42.88671875" customWidth="1"/>
    <col min="6" max="6" width="46.5546875" customWidth="1"/>
    <col min="7" max="7" width="40" customWidth="1"/>
    <col min="8" max="9" width="13.6640625" customWidth="1"/>
    <col min="10" max="10" width="14.5546875" customWidth="1"/>
    <col min="11" max="12" width="14.5546875" hidden="1" customWidth="1"/>
    <col min="13" max="13" width="15.5546875" customWidth="1"/>
    <col min="14" max="14" width="15.33203125" customWidth="1"/>
    <col min="15" max="15" width="15.44140625" customWidth="1"/>
    <col min="16" max="16" width="16" hidden="1" customWidth="1"/>
    <col min="17" max="17" width="16.44140625" customWidth="1"/>
    <col min="18" max="18" width="12.5546875" customWidth="1"/>
    <col min="19" max="21" width="14.5546875" hidden="1" customWidth="1"/>
    <col min="22" max="22" width="19.109375" customWidth="1"/>
    <col min="23" max="23" width="15.44140625" hidden="1" customWidth="1"/>
    <col min="24" max="24" width="8.5546875" hidden="1" customWidth="1"/>
    <col min="25" max="25" width="15.44140625" customWidth="1"/>
    <col min="26" max="26" width="20.88671875" customWidth="1"/>
    <col min="27" max="27" width="2.6640625" customWidth="1"/>
    <col min="28" max="16383" width="2.5546875" hidden="1"/>
    <col min="16384" max="16384" width="1.88671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28" t="s">
        <v>137</v>
      </c>
      <c r="E9" s="528" t="s">
        <v>34</v>
      </c>
      <c r="F9" s="528" t="s">
        <v>434</v>
      </c>
      <c r="G9" s="468" t="s">
        <v>136</v>
      </c>
      <c r="H9" s="511" t="s">
        <v>1</v>
      </c>
      <c r="I9" s="468" t="s">
        <v>426</v>
      </c>
      <c r="J9" s="511" t="s">
        <v>3</v>
      </c>
      <c r="K9" s="511" t="s">
        <v>4</v>
      </c>
      <c r="L9" s="511" t="s">
        <v>5</v>
      </c>
      <c r="M9" s="511" t="s">
        <v>6</v>
      </c>
      <c r="N9" s="511" t="s">
        <v>7</v>
      </c>
      <c r="O9" s="511" t="s">
        <v>8</v>
      </c>
      <c r="P9" s="511"/>
      <c r="Q9" s="511"/>
      <c r="R9" s="511"/>
      <c r="S9" s="511" t="s">
        <v>9</v>
      </c>
      <c r="T9" s="528" t="s">
        <v>505</v>
      </c>
      <c r="U9" s="528" t="s">
        <v>134</v>
      </c>
      <c r="V9" s="511" t="s">
        <v>107</v>
      </c>
      <c r="W9" s="511" t="s">
        <v>12</v>
      </c>
      <c r="X9" s="511"/>
      <c r="Y9" s="511" t="s">
        <v>14</v>
      </c>
      <c r="Z9" s="467" t="s">
        <v>499</v>
      </c>
      <c r="AV9" t="s">
        <v>34</v>
      </c>
    </row>
    <row r="10" spans="4:54" ht="31.5" customHeight="1">
      <c r="D10" s="526"/>
      <c r="E10" s="526"/>
      <c r="F10" s="526"/>
      <c r="G10" s="469"/>
      <c r="H10" s="511"/>
      <c r="I10" s="526"/>
      <c r="J10" s="511"/>
      <c r="K10" s="511"/>
      <c r="L10" s="511"/>
      <c r="M10" s="511"/>
      <c r="N10" s="511"/>
      <c r="O10" s="511" t="s">
        <v>15</v>
      </c>
      <c r="P10" s="511"/>
      <c r="Q10" s="511"/>
      <c r="R10" s="511" t="s">
        <v>16</v>
      </c>
      <c r="S10" s="511"/>
      <c r="T10" s="526"/>
      <c r="U10" s="526"/>
      <c r="V10" s="511"/>
      <c r="W10" s="511"/>
      <c r="X10" s="511"/>
      <c r="Y10" s="511"/>
      <c r="Z10" s="511"/>
      <c r="AV10" t="s">
        <v>437</v>
      </c>
    </row>
    <row r="11" spans="4:54" ht="72">
      <c r="D11" s="527"/>
      <c r="E11" s="527"/>
      <c r="F11" s="527"/>
      <c r="G11" s="470"/>
      <c r="H11" s="511"/>
      <c r="I11" s="527"/>
      <c r="J11" s="511"/>
      <c r="K11" s="511"/>
      <c r="L11" s="511"/>
      <c r="M11" s="511"/>
      <c r="N11" s="511"/>
      <c r="O11" s="40" t="s">
        <v>17</v>
      </c>
      <c r="P11" s="40" t="s">
        <v>18</v>
      </c>
      <c r="Q11" s="40" t="s">
        <v>19</v>
      </c>
      <c r="R11" s="511"/>
      <c r="S11" s="511"/>
      <c r="T11" s="527"/>
      <c r="U11" s="527"/>
      <c r="V11" s="511"/>
      <c r="W11" s="40" t="s">
        <v>20</v>
      </c>
      <c r="X11" s="40" t="s">
        <v>21</v>
      </c>
      <c r="Y11" s="511"/>
      <c r="Z11" s="511"/>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561" t="s">
        <v>394</v>
      </c>
      <c r="F15" s="561" t="s">
        <v>34</v>
      </c>
      <c r="G15" s="288"/>
      <c r="H15" s="399"/>
      <c r="I15" s="47">
        <v>1</v>
      </c>
      <c r="J15" s="47">
        <v>50</v>
      </c>
      <c r="K15" s="47"/>
      <c r="L15" s="47"/>
      <c r="M15" s="559">
        <f>+IFERROR(IF(COUNT(J15:L15),ROUND(SUM(J15:L15),0),""),"")</f>
        <v>50</v>
      </c>
      <c r="N15" s="236">
        <f>+IFERROR(IF(COUNT(M15),ROUND(M15/'Shareholding Pattern'!$L$57*100,2),""),"")</f>
        <v>0.02</v>
      </c>
      <c r="O15" s="47">
        <f>IF(J15="","",J15)</f>
        <v>50</v>
      </c>
      <c r="P15" s="47"/>
      <c r="Q15" s="559">
        <f>+IFERROR(IF(COUNT(O15:P15),ROUND(SUM(O15,P15),2),""),"")</f>
        <v>50</v>
      </c>
      <c r="R15" s="236">
        <f>+IFERROR(IF(COUNT(Q15),ROUND(Q15/('Shareholding Pattern'!$P$58)*100,2),""),"")</f>
        <v>0.02</v>
      </c>
      <c r="S15" s="47"/>
      <c r="T15" s="47"/>
      <c r="U15" s="559"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sheetProtection algorithmName="SHA-512" hashValue="3DYn5V8w4MWCoMw16QxRB1/+dQhTnMdmdMuQSoapaq7erlJb20R1liqf3puG03Xm69sJ0vWpdeNo8Wuubs3jHg==" saltValue="/sxkljeyZ9vNMb+srZ6Cqg==" spinCount="100000"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S13:T13 J13:L13 O15:P15 S15:T15 J15:L15"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68580</xdr:colOff>
                    <xdr:row>14</xdr:row>
                    <xdr:rowOff>68580</xdr:rowOff>
                  </from>
                  <to>
                    <xdr:col>25</xdr:col>
                    <xdr:colOff>1325880</xdr:colOff>
                    <xdr:row>14</xdr:row>
                    <xdr:rowOff>266700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F16" sqref="F16"/>
    </sheetView>
  </sheetViews>
  <sheetFormatPr defaultColWidth="0" defaultRowHeight="14.4"/>
  <cols>
    <col min="1" max="1" width="2.6640625" hidden="1" customWidth="1"/>
    <col min="2" max="2" width="2.6640625" customWidth="1"/>
    <col min="3" max="3" width="7.109375" customWidth="1"/>
    <col min="4" max="6" width="35.6640625" customWidth="1"/>
    <col min="7" max="8" width="13.6640625" customWidth="1"/>
    <col min="9" max="9" width="14.5546875" customWidth="1"/>
    <col min="10" max="11" width="14.5546875" hidden="1" customWidth="1"/>
    <col min="12" max="12" width="15.5546875" customWidth="1"/>
    <col min="13" max="13" width="13.5546875" customWidth="1"/>
    <col min="14" max="14" width="15.44140625" customWidth="1"/>
    <col min="15" max="15" width="16" hidden="1" customWidth="1"/>
    <col min="16" max="16" width="16.44140625" customWidth="1"/>
    <col min="17" max="17" width="13.33203125" customWidth="1"/>
    <col min="18" max="20" width="14.5546875" hidden="1" customWidth="1"/>
    <col min="21" max="21" width="19.33203125" customWidth="1"/>
    <col min="22" max="22" width="15.44140625" hidden="1" customWidth="1"/>
    <col min="23" max="23" width="8.6640625" hidden="1" customWidth="1"/>
    <col min="24" max="24" width="15.44140625" customWidth="1"/>
    <col min="25" max="25" width="19.6640625" customWidth="1"/>
    <col min="26" max="26" width="2.6640625" customWidth="1"/>
    <col min="27" max="27" width="2.6640625" hidden="1" customWidth="1"/>
    <col min="28" max="16383" width="3.88671875" hidden="1"/>
    <col min="16384" max="16384" width="4.88671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43" t="s">
        <v>140</v>
      </c>
      <c r="D9" s="528" t="s">
        <v>34</v>
      </c>
      <c r="E9" s="511" t="s">
        <v>139</v>
      </c>
      <c r="F9" s="511" t="s">
        <v>136</v>
      </c>
      <c r="G9" s="511" t="s">
        <v>1</v>
      </c>
      <c r="H9" s="467" t="s">
        <v>426</v>
      </c>
      <c r="I9" s="511" t="s">
        <v>3</v>
      </c>
      <c r="J9" s="511" t="s">
        <v>4</v>
      </c>
      <c r="K9" s="511" t="s">
        <v>5</v>
      </c>
      <c r="L9" s="511" t="s">
        <v>6</v>
      </c>
      <c r="M9" s="511" t="s">
        <v>7</v>
      </c>
      <c r="N9" s="511" t="s">
        <v>8</v>
      </c>
      <c r="O9" s="511"/>
      <c r="P9" s="511"/>
      <c r="Q9" s="511"/>
      <c r="R9" s="511" t="s">
        <v>9</v>
      </c>
      <c r="S9" s="528" t="s">
        <v>505</v>
      </c>
      <c r="T9" s="528" t="s">
        <v>134</v>
      </c>
      <c r="U9" s="511" t="s">
        <v>107</v>
      </c>
      <c r="V9" s="511" t="s">
        <v>12</v>
      </c>
      <c r="W9" s="511"/>
      <c r="X9" s="511" t="s">
        <v>14</v>
      </c>
      <c r="Y9" s="467" t="s">
        <v>499</v>
      </c>
    </row>
    <row r="10" spans="3:30" ht="31.5" customHeight="1">
      <c r="C10" s="544"/>
      <c r="D10" s="526"/>
      <c r="E10" s="511"/>
      <c r="F10" s="511"/>
      <c r="G10" s="511"/>
      <c r="H10" s="511"/>
      <c r="I10" s="511"/>
      <c r="J10" s="511"/>
      <c r="K10" s="511"/>
      <c r="L10" s="511"/>
      <c r="M10" s="511"/>
      <c r="N10" s="511" t="s">
        <v>15</v>
      </c>
      <c r="O10" s="511"/>
      <c r="P10" s="511"/>
      <c r="Q10" s="511" t="s">
        <v>16</v>
      </c>
      <c r="R10" s="511"/>
      <c r="S10" s="526"/>
      <c r="T10" s="526"/>
      <c r="U10" s="511"/>
      <c r="V10" s="511"/>
      <c r="W10" s="511"/>
      <c r="X10" s="511"/>
      <c r="Y10" s="511"/>
    </row>
    <row r="11" spans="3:30" ht="78.75" customHeight="1">
      <c r="C11" s="545"/>
      <c r="D11" s="527"/>
      <c r="E11" s="511"/>
      <c r="F11" s="511"/>
      <c r="G11" s="511"/>
      <c r="H11" s="511"/>
      <c r="I11" s="511"/>
      <c r="J11" s="511"/>
      <c r="K11" s="511"/>
      <c r="L11" s="511"/>
      <c r="M11" s="511"/>
      <c r="N11" s="40" t="s">
        <v>17</v>
      </c>
      <c r="O11" s="40" t="s">
        <v>18</v>
      </c>
      <c r="P11" s="40" t="s">
        <v>19</v>
      </c>
      <c r="Q11" s="511"/>
      <c r="R11" s="511"/>
      <c r="S11" s="527"/>
      <c r="T11" s="527"/>
      <c r="U11" s="511"/>
      <c r="V11" s="40" t="s">
        <v>20</v>
      </c>
      <c r="W11" s="40" t="s">
        <v>21</v>
      </c>
      <c r="X11" s="511"/>
      <c r="Y11" s="511"/>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abSelected="1" topLeftCell="C7" zoomScale="70" zoomScaleNormal="70" workbookViewId="0">
      <selection activeCell="E16" sqref="E16"/>
    </sheetView>
  </sheetViews>
  <sheetFormatPr defaultColWidth="0" defaultRowHeight="14.4"/>
  <cols>
    <col min="1" max="2" width="2.6640625" hidden="1" customWidth="1"/>
    <col min="3" max="3" width="2.6640625" customWidth="1"/>
    <col min="4" max="4" width="7.109375" customWidth="1"/>
    <col min="5" max="5" width="35.6640625" customWidth="1"/>
    <col min="6"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1.88671875" customWidth="1"/>
    <col min="17" max="17" width="14.5546875" hidden="1" customWidth="1"/>
    <col min="18" max="18" width="15.33203125" hidden="1" customWidth="1"/>
    <col min="19" max="19" width="14.5546875" hidden="1" customWidth="1"/>
    <col min="20" max="20" width="19.109375" customWidth="1"/>
    <col min="21" max="21" width="14.6640625" hidden="1" customWidth="1"/>
    <col min="22" max="22" width="8.109375" hidden="1" customWidth="1"/>
    <col min="23" max="23" width="15.44140625" customWidth="1"/>
    <col min="24" max="24" width="19.44140625" customWidth="1"/>
    <col min="25" max="25" width="2.6640625" customWidth="1"/>
    <col min="26" max="26" width="5.109375" hidden="1" customWidth="1"/>
    <col min="27" max="16383" width="7.5546875" hidden="1"/>
    <col min="16384" max="16384" width="3.88671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 customHeight="1">
      <c r="D9" s="528" t="s">
        <v>137</v>
      </c>
      <c r="E9" s="511" t="s">
        <v>136</v>
      </c>
      <c r="F9" s="511" t="s">
        <v>1</v>
      </c>
      <c r="G9" s="467" t="s">
        <v>426</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7" t="s">
        <v>499</v>
      </c>
    </row>
    <row r="10" spans="4:30" ht="31.5" customHeight="1">
      <c r="D10" s="526"/>
      <c r="E10" s="511"/>
      <c r="F10" s="511"/>
      <c r="G10" s="511"/>
      <c r="H10" s="511"/>
      <c r="I10" s="511"/>
      <c r="J10" s="511"/>
      <c r="K10" s="511"/>
      <c r="L10" s="511"/>
      <c r="M10" s="511" t="s">
        <v>15</v>
      </c>
      <c r="N10" s="511"/>
      <c r="O10" s="511"/>
      <c r="P10" s="511" t="s">
        <v>16</v>
      </c>
      <c r="Q10" s="511"/>
      <c r="R10" s="526"/>
      <c r="S10" s="526"/>
      <c r="T10" s="511"/>
      <c r="U10" s="511"/>
      <c r="V10" s="511"/>
      <c r="W10" s="511"/>
      <c r="X10" s="511"/>
    </row>
    <row r="11" spans="4:30" ht="72">
      <c r="D11" s="527"/>
      <c r="E11" s="511"/>
      <c r="F11" s="511"/>
      <c r="G11" s="511"/>
      <c r="H11" s="511"/>
      <c r="I11" s="511"/>
      <c r="J11" s="511"/>
      <c r="K11" s="511"/>
      <c r="L11" s="511"/>
      <c r="M11" s="58" t="s">
        <v>17</v>
      </c>
      <c r="N11" s="58" t="s">
        <v>18</v>
      </c>
      <c r="O11" s="58" t="s">
        <v>19</v>
      </c>
      <c r="P11" s="511"/>
      <c r="Q11" s="511"/>
      <c r="R11" s="527"/>
      <c r="S11" s="527"/>
      <c r="T11" s="511"/>
      <c r="U11" s="58" t="s">
        <v>20</v>
      </c>
      <c r="V11" s="58" t="s">
        <v>21</v>
      </c>
      <c r="W11" s="511"/>
      <c r="X11" s="511"/>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customWidth="1"/>
    <col min="6" max="6" width="21" customWidth="1"/>
    <col min="7" max="7" width="22.44140625" customWidth="1"/>
    <col min="8" max="8" width="14.5546875" customWidth="1"/>
    <col min="9" max="9" width="30.109375" style="84" customWidth="1"/>
    <col min="10" max="10" width="2.6640625" customWidth="1"/>
    <col min="11" max="16384" width="9.1093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61" t="s">
        <v>433</v>
      </c>
      <c r="F9" s="462"/>
      <c r="G9" s="462"/>
      <c r="H9" s="462"/>
      <c r="I9" s="463"/>
      <c r="J9" s="101"/>
    </row>
    <row r="10" spans="5:10">
      <c r="E10" s="528" t="s">
        <v>137</v>
      </c>
      <c r="F10" s="468" t="s">
        <v>144</v>
      </c>
      <c r="G10" s="468" t="s">
        <v>145</v>
      </c>
      <c r="H10" s="468" t="s">
        <v>383</v>
      </c>
      <c r="I10" s="468" t="s">
        <v>384</v>
      </c>
      <c r="J10" s="101"/>
    </row>
    <row r="11" spans="5:10">
      <c r="E11" s="546"/>
      <c r="F11" s="469"/>
      <c r="G11" s="526"/>
      <c r="H11" s="469"/>
      <c r="I11" s="469"/>
      <c r="J11" s="101"/>
    </row>
    <row r="12" spans="5:10">
      <c r="E12" s="547"/>
      <c r="F12" s="470"/>
      <c r="G12" s="527"/>
      <c r="H12" s="470"/>
      <c r="I12" s="470"/>
      <c r="J12" s="101"/>
    </row>
    <row r="13" spans="5:10" ht="28.5" hidden="1" customHeight="1">
      <c r="E13" s="194"/>
      <c r="F13" s="16"/>
      <c r="G13" s="75"/>
      <c r="H13" s="147"/>
      <c r="I13" s="85"/>
      <c r="J13" s="101"/>
    </row>
    <row r="14" spans="5:10" ht="25.5" customHeight="1">
      <c r="E14" s="45"/>
      <c r="F14" s="55"/>
      <c r="G14" s="55"/>
      <c r="H14" s="55"/>
      <c r="I14" s="261" t="s">
        <v>448</v>
      </c>
      <c r="J14" s="101"/>
    </row>
  </sheetData>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4.4"/>
  <sheetData>
    <row r="1" spans="2:5">
      <c r="E1">
        <v>11</v>
      </c>
    </row>
    <row r="3" spans="2:5">
      <c r="B3" s="375"/>
    </row>
    <row r="4" spans="2:5">
      <c r="B4" s="375"/>
    </row>
    <row r="5" spans="2:5">
      <c r="B5" s="375" t="s">
        <v>646</v>
      </c>
    </row>
    <row r="6" spans="2:5">
      <c r="B6" s="375" t="s">
        <v>646</v>
      </c>
    </row>
    <row r="7" spans="2:5">
      <c r="B7" s="375" t="s">
        <v>646</v>
      </c>
    </row>
    <row r="8" spans="2:5">
      <c r="B8" s="375" t="s">
        <v>647</v>
      </c>
    </row>
    <row r="9" spans="2:5">
      <c r="B9" s="375" t="s">
        <v>648</v>
      </c>
    </row>
    <row r="10" spans="2:5">
      <c r="B10" s="375" t="s">
        <v>649</v>
      </c>
    </row>
    <row r="11" spans="2:5">
      <c r="B11" s="375" t="s">
        <v>649</v>
      </c>
    </row>
    <row r="12" spans="2:5">
      <c r="B12" s="375"/>
    </row>
    <row r="13" spans="2:5">
      <c r="B13" s="375"/>
    </row>
    <row r="14" spans="2:5">
      <c r="B14" s="375"/>
    </row>
    <row r="15" spans="2:5">
      <c r="B15" s="375"/>
    </row>
    <row r="16" spans="2:5">
      <c r="B16" s="375"/>
    </row>
    <row r="17" spans="2:2">
      <c r="B17" s="375"/>
    </row>
    <row r="18" spans="2:2">
      <c r="B18" s="375"/>
    </row>
    <row r="19" spans="2:2">
      <c r="B19" s="375"/>
    </row>
    <row r="20" spans="2:2">
      <c r="B20" s="375"/>
    </row>
    <row r="21" spans="2:2">
      <c r="B21" s="375"/>
    </row>
    <row r="22" spans="2:2">
      <c r="B22" s="375"/>
    </row>
    <row r="23" spans="2:2">
      <c r="B23" s="375"/>
    </row>
    <row r="24" spans="2:2">
      <c r="B24" s="375"/>
    </row>
    <row r="25" spans="2:2">
      <c r="B25" s="375"/>
    </row>
    <row r="26" spans="2:2">
      <c r="B26" s="375"/>
    </row>
    <row r="27" spans="2:2">
      <c r="B27" s="375"/>
    </row>
    <row r="28" spans="2:2">
      <c r="B28" s="375"/>
    </row>
    <row r="29" spans="2:2">
      <c r="B29" s="375"/>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4" sqref="H14"/>
    </sheetView>
  </sheetViews>
  <sheetFormatPr defaultColWidth="0" defaultRowHeight="14.4"/>
  <cols>
    <col min="1" max="2" width="2.6640625" hidden="1" customWidth="1"/>
    <col min="3" max="3" width="2.6640625" customWidth="1"/>
    <col min="4" max="4" width="7.109375" customWidth="1"/>
    <col min="5" max="5" width="35.6640625" style="76" customWidth="1"/>
    <col min="6" max="6" width="35.6640625" customWidth="1"/>
    <col min="7" max="7" width="17.33203125" customWidth="1"/>
    <col min="8" max="8" width="14.5546875" customWidth="1"/>
    <col min="9" max="9" width="2.6640625" customWidth="1"/>
    <col min="10" max="16384" width="9.109375" hidden="1"/>
  </cols>
  <sheetData>
    <row r="1" spans="4:9" hidden="1">
      <c r="I1">
        <v>0</v>
      </c>
    </row>
    <row r="2" spans="4:9" hidden="1"/>
    <row r="3" spans="4:9" hidden="1"/>
    <row r="4" spans="4:9" hidden="1"/>
    <row r="5" spans="4:9" hidden="1"/>
    <row r="9" spans="4:9" ht="30" customHeight="1">
      <c r="D9" s="550" t="s">
        <v>428</v>
      </c>
      <c r="E9" s="551"/>
      <c r="F9" s="551"/>
      <c r="G9" s="551"/>
      <c r="H9" s="552"/>
    </row>
    <row r="10" spans="4:9">
      <c r="D10" s="528" t="s">
        <v>137</v>
      </c>
      <c r="E10" s="468" t="s">
        <v>604</v>
      </c>
      <c r="F10" s="468" t="s">
        <v>146</v>
      </c>
      <c r="G10" s="468" t="s">
        <v>147</v>
      </c>
      <c r="H10" s="468" t="s">
        <v>148</v>
      </c>
    </row>
    <row r="11" spans="4:9">
      <c r="D11" s="548"/>
      <c r="E11" s="548"/>
      <c r="F11" s="469"/>
      <c r="G11" s="526"/>
      <c r="H11" s="469"/>
    </row>
    <row r="12" spans="4:9">
      <c r="D12" s="549"/>
      <c r="E12" s="549"/>
      <c r="F12" s="470"/>
      <c r="G12" s="527"/>
      <c r="H12" s="470"/>
    </row>
    <row r="13" spans="4:9" hidden="1">
      <c r="D13" s="342"/>
      <c r="E13" s="75"/>
      <c r="F13" s="75"/>
      <c r="G13" s="99"/>
      <c r="H13" s="100"/>
    </row>
    <row r="14" spans="4:9" ht="24.75" customHeight="1">
      <c r="D14" s="12"/>
      <c r="E14" s="13"/>
      <c r="F14" s="55"/>
      <c r="G14" s="55"/>
      <c r="H14" s="261" t="s">
        <v>449</v>
      </c>
    </row>
  </sheetData>
  <sheetProtection password="F884"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style="76" customWidth="1"/>
    <col min="6" max="6" width="33.109375" customWidth="1"/>
    <col min="7" max="7" width="26.33203125" customWidth="1"/>
    <col min="8" max="8" width="14.5546875" customWidth="1"/>
    <col min="9" max="9" width="22.5546875" customWidth="1"/>
    <col min="10" max="10" width="2.664062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61" t="s">
        <v>429</v>
      </c>
      <c r="F9" s="462"/>
      <c r="G9" s="462"/>
      <c r="H9" s="462"/>
      <c r="I9" s="104"/>
    </row>
    <row r="10" spans="5:9">
      <c r="E10" s="528" t="s">
        <v>137</v>
      </c>
      <c r="F10" s="468" t="s">
        <v>144</v>
      </c>
      <c r="G10" s="468" t="s">
        <v>145</v>
      </c>
      <c r="H10" s="468" t="s">
        <v>149</v>
      </c>
      <c r="I10" s="553" t="s">
        <v>385</v>
      </c>
    </row>
    <row r="11" spans="5:9">
      <c r="E11" s="548"/>
      <c r="F11" s="469"/>
      <c r="G11" s="526"/>
      <c r="H11" s="469"/>
      <c r="I11" s="554"/>
    </row>
    <row r="12" spans="5:9">
      <c r="E12" s="549"/>
      <c r="F12" s="470"/>
      <c r="G12" s="527"/>
      <c r="H12" s="470"/>
      <c r="I12" s="555"/>
    </row>
    <row r="13" spans="5:9" hidden="1">
      <c r="E13" s="194"/>
      <c r="F13" s="16"/>
      <c r="G13" s="99"/>
      <c r="H13" s="99"/>
      <c r="I13" s="105"/>
    </row>
    <row r="14" spans="5:9" ht="24.75" customHeight="1">
      <c r="E14" s="12"/>
      <c r="F14" s="55"/>
      <c r="G14" s="55"/>
      <c r="H14" s="55"/>
      <c r="I14" s="261"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Shah</cp:lastModifiedBy>
  <cp:lastPrinted>2016-09-08T06:44:45Z</cp:lastPrinted>
  <dcterms:created xsi:type="dcterms:W3CDTF">2015-12-16T12:56:50Z</dcterms:created>
  <dcterms:modified xsi:type="dcterms:W3CDTF">2020-10-13T13:52:10Z</dcterms:modified>
</cp:coreProperties>
</file>