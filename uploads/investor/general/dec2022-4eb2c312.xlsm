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2.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Z:\JSG FILES\JSG NEW DATA G DRIVE RESTATED + PROF\PROF WORK 10.04.2022\ANSHUNI COMMERCIAL\BSE COMPLIANCES\December 2022\Regulation 31\re\"/>
    </mc:Choice>
  </mc:AlternateContent>
  <bookViews>
    <workbookView xWindow="0" yWindow="0" windowWidth="20490" windowHeight="7650" tabRatio="907" firstSheet="4" activeTab="4"/>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r:id="rId8"/>
    <sheet name="Banks" sheetId="4" r:id="rId9"/>
    <sheet name="OtherIND" sheetId="5" r:id="rId10"/>
    <sheet name="Individuals" sheetId="6" r:id="rId11"/>
    <sheet name="Government" sheetId="10" r:id="rId12"/>
    <sheet name="Institutions" sheetId="11" r:id="rId13"/>
    <sheet name="FPIPromoter" sheetId="14" r:id="rId14"/>
    <sheet name="OtherForeign" sheetId="15" r:id="rId15"/>
    <sheet name="MutuaFund" sheetId="16" r:id="rId16"/>
    <sheet name="VentureCap" sheetId="17" r:id="rId17"/>
    <sheet name="AIF" sheetId="18" r:id="rId18"/>
    <sheet name="FVC" sheetId="19" r:id="rId19"/>
    <sheet name="FPI_Insti" sheetId="20" r:id="rId20"/>
    <sheet name="Bank_Insti" sheetId="21" r:id="rId21"/>
    <sheet name="Insurance" sheetId="22" r:id="rId22"/>
    <sheet name="Bodies Corporate" sheetId="71" r:id="rId23"/>
    <sheet name="Foreign Companies" sheetId="70" r:id="rId24"/>
    <sheet name="Foreign Nationals" sheetId="69" r:id="rId25"/>
    <sheet name="Non Resident Indians (NRIs)" sheetId="68" r:id="rId26"/>
    <sheet name="Investor Education" sheetId="67" r:id="rId27"/>
    <sheet name="Trusts where any person" sheetId="66" r:id="rId28"/>
    <sheet name="Relatives of promoters" sheetId="65" r:id="rId29"/>
    <sheet name="Key Managerial Personnel" sheetId="64" r:id="rId30"/>
    <sheet name="Directors and their relatives" sheetId="63" r:id="rId31"/>
    <sheet name="Associate companies_Subsidiar" sheetId="62" r:id="rId32"/>
    <sheet name="Shareholding by Companies" sheetId="61" r:id="rId33"/>
    <sheet name="State Government_Governor" sheetId="60" r:id="rId34"/>
    <sheet name="CG&amp;SG&amp;PI" sheetId="25" r:id="rId35"/>
    <sheet name="Other_Insti (Foreign)" sheetId="59" state="hidden" r:id="rId36"/>
    <sheet name="Other_Insti" sheetId="24" r:id="rId37"/>
    <sheet name="Foreign Portfolio Category II" sheetId="58" r:id="rId38"/>
    <sheet name="Sovereign Wealth(Foreign)" sheetId="57" r:id="rId39"/>
    <sheet name="Foreign Direct Investment" sheetId="56" r:id="rId40"/>
    <sheet name="Other Financial Institutions" sheetId="55" state="hidden" r:id="rId41"/>
    <sheet name="Sovereign Wealth(Domestic)" sheetId="54" r:id="rId42"/>
    <sheet name="AssetReconstruct" sheetId="53" r:id="rId43"/>
    <sheet name="Pension" sheetId="23" r:id="rId44"/>
    <sheet name="Indivisual(aI)" sheetId="26" state="hidden" r:id="rId45"/>
    <sheet name="Indivisual(aII)" sheetId="28" state="hidden" r:id="rId46"/>
    <sheet name="NBFC" sheetId="31" r:id="rId47"/>
    <sheet name="EmpTrust" sheetId="32" state="hidden" r:id="rId48"/>
    <sheet name="OD" sheetId="33" r:id="rId49"/>
    <sheet name="Other_NonInsti" sheetId="34" state="hidden" r:id="rId50"/>
    <sheet name="Annexure B" sheetId="72" r:id="rId51"/>
    <sheet name="Taxonomy" sheetId="45" state="hidden" r:id="rId52"/>
    <sheet name="DRHolder" sheetId="36" state="hidden" r:id="rId53"/>
    <sheet name="EBT" sheetId="38" state="hidden" r:id="rId54"/>
    <sheet name="Unclaimed_Prom" sheetId="41" state="hidden" r:id="rId55"/>
    <sheet name="TextBlock" sheetId="46" state="hidden" r:id="rId56"/>
    <sheet name="PAC_Public" sheetId="42" state="hidden" r:id="rId57"/>
    <sheet name="Unclaimed_Public" sheetId="43" state="hidden"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5251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20" i="28" l="1"/>
  <c r="V20" i="28"/>
  <c r="S20" i="28"/>
  <c r="M20" i="28"/>
  <c r="O20" i="28" s="1"/>
  <c r="K20" i="28"/>
  <c r="AC19" i="28"/>
  <c r="V19" i="28"/>
  <c r="S19" i="28"/>
  <c r="M19" i="28"/>
  <c r="O19" i="28" s="1"/>
  <c r="K19" i="28"/>
  <c r="AC18" i="28"/>
  <c r="V18" i="28"/>
  <c r="S18" i="28"/>
  <c r="M18" i="28"/>
  <c r="O18" i="28" s="1"/>
  <c r="K18" i="28"/>
  <c r="AC17" i="28"/>
  <c r="V17" i="28"/>
  <c r="S17" i="28"/>
  <c r="M17" i="28"/>
  <c r="O17" i="28" s="1"/>
  <c r="K17" i="28"/>
  <c r="AC16" i="28"/>
  <c r="V16" i="28"/>
  <c r="S16" i="28"/>
  <c r="M16" i="28"/>
  <c r="O16" i="28" s="1"/>
  <c r="K16" i="28"/>
  <c r="AC15" i="28"/>
  <c r="V15" i="28"/>
  <c r="S15" i="28"/>
  <c r="M15" i="28"/>
  <c r="O15" i="28" s="1"/>
  <c r="K15" i="28"/>
  <c r="AC16" i="26"/>
  <c r="V16" i="26"/>
  <c r="S16" i="26"/>
  <c r="M16" i="26"/>
  <c r="O16" i="26" s="1"/>
  <c r="K16" i="26"/>
  <c r="AC15" i="26"/>
  <c r="V15" i="26"/>
  <c r="S15" i="26"/>
  <c r="M15" i="26"/>
  <c r="O15" i="26" s="1"/>
  <c r="K15" i="26"/>
  <c r="X15" i="34"/>
  <c r="O15" i="34"/>
  <c r="Q15" i="34" s="1"/>
  <c r="M15" i="34"/>
  <c r="X17" i="2"/>
  <c r="V17" i="2"/>
  <c r="S17" i="2"/>
  <c r="M17" i="2"/>
  <c r="O17" i="2" s="1"/>
  <c r="K17" i="2"/>
  <c r="X16" i="2"/>
  <c r="V16" i="2"/>
  <c r="S16" i="2"/>
  <c r="M16" i="2"/>
  <c r="O16" i="2" s="1"/>
  <c r="K16" i="2"/>
  <c r="X15" i="2"/>
  <c r="V15" i="2"/>
  <c r="S15" i="2"/>
  <c r="M15" i="2"/>
  <c r="O15" i="2" s="1"/>
  <c r="K15" i="2"/>
  <c r="AC41" i="1" l="1"/>
  <c r="AA41" i="1"/>
  <c r="T44" i="1" l="1"/>
  <c r="T45" i="1"/>
  <c r="T46" i="1"/>
  <c r="T47" i="1"/>
  <c r="P44" i="1"/>
  <c r="P45" i="1"/>
  <c r="P46" i="1"/>
  <c r="P47" i="1"/>
  <c r="AA16" i="71" l="1"/>
  <c r="Z16" i="71"/>
  <c r="Y16" i="71"/>
  <c r="AA16" i="70"/>
  <c r="Z16" i="70"/>
  <c r="Y16" i="70"/>
  <c r="AA16" i="69"/>
  <c r="Z16" i="69"/>
  <c r="Y16" i="69"/>
  <c r="AA16" i="68"/>
  <c r="Z16" i="68"/>
  <c r="Y16" i="68"/>
  <c r="AA22" i="28"/>
  <c r="Z22" i="28"/>
  <c r="Y22" i="28"/>
  <c r="AA18" i="26"/>
  <c r="Z18" i="26"/>
  <c r="Y18"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3" i="1"/>
  <c r="P64" i="1"/>
  <c r="P65" i="1"/>
  <c r="P66" i="1"/>
  <c r="P67" i="1"/>
  <c r="P68" i="1"/>
  <c r="P69" i="1"/>
  <c r="L58" i="1"/>
  <c r="W58" i="1" s="1"/>
  <c r="L59" i="1"/>
  <c r="W59" i="1" s="1"/>
  <c r="L60" i="1"/>
  <c r="W60" i="1" s="1"/>
  <c r="L61" i="1"/>
  <c r="W61" i="1" s="1"/>
  <c r="L62" i="1"/>
  <c r="W62" i="1" s="1"/>
  <c r="L63" i="1"/>
  <c r="W63" i="1" s="1"/>
  <c r="L64" i="1"/>
  <c r="W64" i="1" s="1"/>
  <c r="L65" i="1"/>
  <c r="W65" i="1" s="1"/>
  <c r="L66" i="1"/>
  <c r="W66" i="1" s="1"/>
  <c r="L67" i="1"/>
  <c r="W67" i="1" s="1"/>
  <c r="L68" i="1"/>
  <c r="W68" i="1" s="1"/>
  <c r="L69" i="1"/>
  <c r="W69" i="1" s="1"/>
  <c r="L44" i="1"/>
  <c r="W44" i="1" s="1"/>
  <c r="L45" i="1"/>
  <c r="W45" i="1" s="1"/>
  <c r="L46" i="1"/>
  <c r="W46" i="1" s="1"/>
  <c r="L47" i="1"/>
  <c r="W47" i="1" s="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16" i="71"/>
  <c r="W16" i="71"/>
  <c r="U16" i="71"/>
  <c r="S16" i="71"/>
  <c r="R16" i="71"/>
  <c r="Q16" i="71"/>
  <c r="N16" i="71"/>
  <c r="K16" i="71"/>
  <c r="J16" i="71"/>
  <c r="I16" i="71"/>
  <c r="H16"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16"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16"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17" i="34" l="1"/>
  <c r="K16" i="24"/>
  <c r="I16" i="24"/>
  <c r="I3" i="24"/>
  <c r="J16" i="24" l="1"/>
  <c r="L16" i="24"/>
  <c r="L3" i="24"/>
  <c r="K3" i="24"/>
  <c r="J3" i="24"/>
  <c r="G16" i="38" l="1"/>
  <c r="H16" i="36"/>
  <c r="AA16" i="15" l="1"/>
  <c r="Y16" i="15"/>
  <c r="W16" i="15"/>
  <c r="T16" i="15"/>
  <c r="P16" i="15"/>
  <c r="L16" i="15"/>
  <c r="K16" i="15"/>
  <c r="I16" i="15"/>
  <c r="AA16" i="5"/>
  <c r="P16" i="5"/>
  <c r="L16" i="5"/>
  <c r="I16" i="5"/>
  <c r="K16" i="5" l="1"/>
  <c r="T16"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6" i="5" l="1"/>
  <c r="Z70" i="1"/>
  <c r="Z71" i="1" s="1"/>
  <c r="O70" i="1" l="1"/>
  <c r="O71" i="1" s="1"/>
  <c r="U16" i="5"/>
  <c r="S16" i="5"/>
  <c r="U16" i="15" l="1"/>
  <c r="S16" i="15"/>
  <c r="W16" i="5"/>
  <c r="M16" i="15"/>
  <c r="Q16" i="15"/>
  <c r="J16" i="15"/>
  <c r="M16" i="5"/>
  <c r="Q16" i="5"/>
  <c r="O16" i="5"/>
  <c r="X16" i="5" l="1"/>
  <c r="X16" i="15"/>
  <c r="Z16" i="15"/>
  <c r="Y16" i="5"/>
  <c r="Z16"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M17"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8"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22" i="28"/>
  <c r="U22" i="28"/>
  <c r="R22" i="28"/>
  <c r="Q22" i="28"/>
  <c r="O22" i="28"/>
  <c r="N22" i="28"/>
  <c r="M22" i="28"/>
  <c r="J22" i="28"/>
  <c r="I22" i="28"/>
  <c r="H22" i="28"/>
  <c r="W18" i="26"/>
  <c r="U18" i="26"/>
  <c r="R18" i="26"/>
  <c r="Q18" i="26"/>
  <c r="N18" i="26"/>
  <c r="M18" i="26"/>
  <c r="J18" i="26"/>
  <c r="I18" i="26"/>
  <c r="H18"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8" i="26"/>
  <c r="O16" i="32"/>
  <c r="O16" i="38"/>
  <c r="K16" i="17"/>
  <c r="V16" i="17" s="1"/>
  <c r="K16" i="32"/>
  <c r="V16" i="32" s="1"/>
  <c r="K16" i="23"/>
  <c r="K16" i="10"/>
  <c r="X16" i="10" s="1"/>
  <c r="K16" i="19"/>
  <c r="V16" i="19" s="1"/>
  <c r="K16" i="21"/>
  <c r="V16" i="21" s="1"/>
  <c r="K18" i="26"/>
  <c r="V18"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9" i="2"/>
  <c r="W19" i="2"/>
  <c r="U19" i="2"/>
  <c r="R19" i="2"/>
  <c r="S14" i="1" s="1"/>
  <c r="Q19" i="2"/>
  <c r="R14" i="1" s="1"/>
  <c r="J19" i="2"/>
  <c r="K14" i="1" s="1"/>
  <c r="I19" i="2"/>
  <c r="J14" i="1" s="1"/>
  <c r="S19" i="2"/>
  <c r="T14" i="1" s="1"/>
  <c r="K19" i="2"/>
  <c r="L14" i="1" l="1"/>
  <c r="X14" i="1"/>
  <c r="X19" i="2"/>
  <c r="V14" i="1"/>
  <c r="V19" i="2"/>
  <c r="J16" i="44"/>
  <c r="K77" i="1"/>
  <c r="J15" i="44" s="1"/>
  <c r="L75" i="1"/>
  <c r="W75" i="1" s="1"/>
  <c r="V16" i="44" s="1"/>
  <c r="J17" i="44"/>
  <c r="L76" i="1"/>
  <c r="S22" i="28"/>
  <c r="K22" i="28"/>
  <c r="V22" i="28" s="1"/>
  <c r="Y14" i="1" l="1"/>
  <c r="W14" i="1"/>
  <c r="K17" i="44"/>
  <c r="W76" i="1"/>
  <c r="V17" i="44" s="1"/>
  <c r="K16" i="44"/>
  <c r="L77" i="1"/>
  <c r="O19"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Z17" i="1"/>
  <c r="X17" i="1"/>
  <c r="T17" i="1"/>
  <c r="S17" i="1"/>
  <c r="P17" i="1"/>
  <c r="O17" i="1"/>
  <c r="L17" i="1"/>
  <c r="K17" i="1"/>
  <c r="J17" i="1"/>
  <c r="I17" i="1"/>
  <c r="L25" i="1" l="1"/>
  <c r="Y17" i="1"/>
  <c r="Y23" i="1"/>
  <c r="W23" i="1"/>
  <c r="X25" i="1"/>
  <c r="Z18" i="1"/>
  <c r="Z26" i="1" s="1"/>
  <c r="T18" i="1"/>
  <c r="P18" i="1"/>
  <c r="N19" i="2"/>
  <c r="O14" i="1" s="1"/>
  <c r="M19" i="2"/>
  <c r="N14" i="1" s="1"/>
  <c r="H19" i="2"/>
  <c r="Y25" i="1" l="1"/>
  <c r="I18" i="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V16" i="5"/>
  <c r="N16" i="5"/>
  <c r="M17" i="1"/>
  <c r="U17" i="1"/>
  <c r="T16" i="4"/>
  <c r="L16" i="4"/>
  <c r="M16" i="1"/>
  <c r="U16" i="1"/>
  <c r="Q16" i="16"/>
  <c r="R16" i="16"/>
  <c r="R26" i="1"/>
  <c r="N24" i="1"/>
  <c r="N25" i="1" s="1"/>
  <c r="N17" i="1"/>
  <c r="N18" i="1" s="1"/>
  <c r="W18" i="44"/>
  <c r="L16" i="32"/>
  <c r="T16" i="32"/>
  <c r="T16" i="38"/>
  <c r="L16" i="38"/>
  <c r="X13" i="44"/>
  <c r="S16" i="16" l="1"/>
  <c r="Q13" i="44"/>
  <c r="V24" i="1"/>
  <c r="W24" i="1" s="1"/>
  <c r="V17" i="1"/>
  <c r="W17" i="1" s="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R16" i="5"/>
  <c r="P16" i="4"/>
  <c r="Q16" i="1" s="1"/>
  <c r="AG13" i="15" l="1"/>
  <c r="H24" i="1" s="1"/>
  <c r="Q17" i="1"/>
  <c r="AD13" i="5"/>
  <c r="AG13" i="5"/>
  <c r="H17"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P16" i="28" l="1"/>
  <c r="P19" i="28"/>
  <c r="P20" i="28"/>
  <c r="P18" i="28"/>
  <c r="P15" i="28"/>
  <c r="P17" i="28"/>
  <c r="P15" i="26"/>
  <c r="P16" i="26"/>
  <c r="P17" i="2"/>
  <c r="R15" i="34"/>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16" i="71"/>
  <c r="P16" i="53"/>
  <c r="P16" i="31"/>
  <c r="P16" i="22"/>
  <c r="P16" i="21"/>
  <c r="P16" i="20"/>
  <c r="P16" i="18"/>
  <c r="P16" i="17"/>
  <c r="P16" i="19"/>
  <c r="P16" i="25"/>
  <c r="P22" i="28"/>
  <c r="P16" i="33"/>
  <c r="P18" i="26"/>
  <c r="P16" i="23"/>
  <c r="Q18" i="1"/>
  <c r="P19"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T20" i="28" l="1"/>
  <c r="T17" i="28"/>
  <c r="T19" i="28"/>
  <c r="L16" i="28"/>
  <c r="L20" i="28"/>
  <c r="L18" i="28"/>
  <c r="L15" i="28"/>
  <c r="T16" i="28"/>
  <c r="T15" i="28"/>
  <c r="L19" i="28"/>
  <c r="L17" i="28"/>
  <c r="T18" i="28"/>
  <c r="L16" i="26"/>
  <c r="T16" i="26"/>
  <c r="T15" i="26"/>
  <c r="L15" i="26"/>
  <c r="V15" i="34"/>
  <c r="N15" i="34"/>
  <c r="T17" i="2"/>
  <c r="L17" i="2"/>
  <c r="T16" i="2"/>
  <c r="L16" i="2"/>
  <c r="T15" i="2"/>
  <c r="L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16" i="71"/>
  <c r="T16" i="60"/>
  <c r="L16" i="62"/>
  <c r="T16" i="70"/>
  <c r="T16" i="56"/>
  <c r="L16" i="60"/>
  <c r="L16" i="58"/>
  <c r="L16" i="54"/>
  <c r="T16" i="68"/>
  <c r="T16" i="69"/>
  <c r="T16" i="71"/>
  <c r="L16" i="68"/>
  <c r="T16" i="64"/>
  <c r="T16" i="67"/>
  <c r="T16" i="66"/>
  <c r="L16" i="63"/>
  <c r="L16" i="57"/>
  <c r="T16" i="65"/>
  <c r="L16" i="64"/>
  <c r="T16" i="63"/>
  <c r="T16" i="53"/>
  <c r="L16" i="53"/>
  <c r="L16" i="20"/>
  <c r="T16" i="17"/>
  <c r="L16" i="22"/>
  <c r="L16" i="25"/>
  <c r="L16" i="17"/>
  <c r="L22" i="28"/>
  <c r="T16" i="25"/>
  <c r="L18" i="26"/>
  <c r="T16" i="21"/>
  <c r="T16" i="19"/>
  <c r="L16" i="18"/>
  <c r="T16" i="33"/>
  <c r="T22" i="28"/>
  <c r="T16" i="18"/>
  <c r="L16" i="21"/>
  <c r="T16" i="20"/>
  <c r="L16" i="19"/>
  <c r="T18" i="26"/>
  <c r="L16" i="33"/>
  <c r="L16" i="31"/>
  <c r="T16" i="31"/>
  <c r="L16" i="23"/>
  <c r="T16" i="23"/>
  <c r="T16" i="22"/>
  <c r="L19" i="2"/>
  <c r="U14" i="1"/>
  <c r="M18" i="1"/>
  <c r="T19"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C16" i="2" l="1"/>
  <c r="AC17" i="2"/>
  <c r="AC15" i="2"/>
  <c r="AD13" i="2" s="1"/>
  <c r="AD13" i="6"/>
  <c r="H20" i="1" s="1"/>
  <c r="AD1" i="3"/>
  <c r="AD13" i="14"/>
  <c r="H23" i="1" s="1"/>
  <c r="V3" i="24"/>
  <c r="V16" i="24"/>
  <c r="V17"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17" i="34"/>
  <c r="AB17" i="34"/>
  <c r="AA17" i="34"/>
  <c r="N17" i="34"/>
  <c r="P17" i="34"/>
  <c r="O17" i="34"/>
  <c r="N3" i="34"/>
  <c r="O3" i="34"/>
  <c r="Q3" i="34"/>
  <c r="Q17" i="34"/>
  <c r="P3" i="34"/>
  <c r="U3" i="34"/>
  <c r="W17" i="34"/>
  <c r="X17" i="34" s="1"/>
  <c r="T17" i="34"/>
  <c r="Y17" i="34"/>
  <c r="S3" i="34"/>
  <c r="X3" i="34"/>
  <c r="Y3" i="34"/>
  <c r="W3" i="34"/>
  <c r="U17" i="34"/>
  <c r="T3" i="34"/>
  <c r="S17" i="34"/>
  <c r="R3" i="34"/>
  <c r="R17" i="34"/>
  <c r="T14" i="44"/>
  <c r="U79" i="1"/>
  <c r="T18" i="44" s="1"/>
  <c r="H25" i="1" l="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<sst xmlns="http://schemas.openxmlformats.org/spreadsheetml/2006/main" count="4550" uniqueCount="889">
  <si>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</si>
  <si>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</si>
  <si>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</si>
  <si>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</si>
  <si>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</si>
  <si>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</si>
  <si>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</si>
  <si>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</si>
  <si>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</si>
  <si>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</si>
  <si>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</si>
  <si>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</si>
  <si>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</si>
  <si>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</si>
  <si>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</si>
  <si>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</si>
  <si>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</si>
  <si>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</si>
  <si>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</si>
  <si>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</si>
  <si>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</si>
  <si>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</si>
  <si>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</si>
  <si>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</si>
  <si>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</si>
  <si>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</si>
  <si>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</si>
  <si>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</si>
  <si>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</si>
  <si>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</si>
  <si>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</si>
  <si>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</si>
  <si>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</si>
  <si>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</si>
  <si>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</si>
  <si>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</si>
  <si>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</si>
  <si>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</si>
  <si>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</si>
  <si>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</si>
  <si>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</si>
  <si>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</si>
  <si>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</si>
  <si>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</si>
  <si>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</si>
  <si>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</si>
  <si>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</si>
  <si>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</si>
  <si>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</si>
  <si>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</si>
  <si>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</si>
  <si>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</si>
  <si>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</si>
  <si>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</si>
  <si>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</si>
  <si>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</si>
  <si>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</si>
  <si>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</si>
  <si>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</si>
  <si>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</si>
  <si>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</si>
  <si>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</si>
  <si>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</si>
  <si>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</si>
  <si>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</si>
  <si>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</si>
  <si>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</si>
  <si>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</si>
  <si>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</si>
  <si>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</si>
  <si>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</si>
  <si>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</si>
  <si>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</si>
  <si>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</si>
  <si>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</si>
  <si>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</si>
  <si>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</si>
  <si>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</si>
  <si>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</si>
  <si>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</si>
  <si>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</si>
  <si>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</si>
  <si>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</si>
  <si>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</si>
  <si>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</si>
  <si>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</si>
  <si>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</si>
  <si>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</si>
  <si>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</si>
  <si>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</si>
  <si>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</si>
  <si>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</si>
  <si>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</si>
  <si>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</si>
  <si>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</si>
  <si>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</si>
  <si>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</si>
  <si>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</si>
  <si>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</si>
  <si>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</si>
  <si>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</si>
  <si>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</si>
  <si>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</si>
  <si>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</si>
  <si>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</si>
  <si>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</si>
  <si>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</si>
  <si>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</si>
  <si>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</si>
  <si>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</si>
  <si>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</si>
  <si>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</si>
  <si>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</si>
  <si>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</si>
  <si>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</si>
  <si>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</si>
  <si>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</si>
  <si>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</si>
  <si>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</si>
  <si>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</si>
  <si>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</si>
  <si>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</si>
  <si>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</si>
  <si>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</si>
  <si>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</si>
  <si>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</si>
  <si>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</si>
  <si>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</si>
  <si>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</si>
  <si>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</si>
  <si>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</si>
  <si>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</si>
  <si>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</si>
  <si>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</si>
  <si>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</si>
  <si>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</si>
  <si>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</si>
  <si>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</si>
  <si>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</si>
  <si>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</si>
  <si>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</si>
  <si>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</si>
  <si>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</si>
  <si>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</si>
  <si>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</si>
  <si>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</si>
  <si>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</si>
  <si>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</si>
  <si>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</si>
  <si>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</si>
  <si>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</si>
  <si>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</si>
  <si>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</si>
  <si>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</si>
  <si>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</si>
  <si>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</si>
  <si>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</si>
  <si>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</si>
  <si>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</si>
  <si>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</si>
  <si>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</si>
  <si>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</si>
  <si>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</si>
  <si>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</si>
  <si>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</si>
  <si>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</si>
  <si>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</si>
  <si>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</si>
  <si>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</si>
  <si>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</si>
  <si>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</si>
  <si>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</si>
  <si>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</si>
  <si>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</si>
  <si>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</si>
  <si>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</si>
  <si>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</si>
  <si>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</si>
  <si>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</si>
  <si>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</si>
  <si>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</si>
  <si>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</si>
  <si>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</si>
  <si>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</si>
  <si>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</si>
  <si>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</si>
  <si>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</si>
  <si>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</si>
  <si>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</si>
  <si>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</si>
  <si>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</si>
  <si>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</si>
  <si>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</si>
  <si>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</si>
  <si>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</si>
  <si>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</si>
  <si>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</si>
  <si>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</si>
  <si>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</si>
  <si>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</si>
  <si>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</si>
  <si>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</si>
  <si>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</si>
  <si>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</si>
  <si>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</si>
  <si>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</si>
  <si>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</si>
  <si>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</si>
  <si>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</si>
  <si>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</si>
  <si>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</si>
  <si>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</si>
  <si>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</si>
  <si>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</si>
  <si>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</si>
  <si>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</si>
  <si>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</si>
  <si>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</si>
  <si>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</si>
  <si>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</si>
  <si>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</si>
  <si>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</si>
  <si>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</si>
  <si>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</si>
  <si>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</si>
  <si>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</si>
  <si>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</si>
  <si>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</si>
  <si>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</si>
  <si>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</si>
  <si>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</si>
  <si>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</si>
  <si>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</si>
  <si>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</si>
  <si>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</si>
  <si>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</si>
  <si>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</si>
  <si>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</si>
  <si>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</si>
  <si>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</si>
  <si>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</si>
  <si>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</si>
  <si>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</si>
  <si>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</si>
  <si>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</si>
  <si>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</si>
  <si>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</si>
  <si>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</si>
  <si>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</si>
  <si>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</si>
  <si>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</si>
  <si>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</si>
  <si>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</si>
  <si>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</si>
  <si>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</si>
  <si>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</si>
  <si>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</si>
  <si>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</si>
  <si>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</si>
  <si>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</si>
  <si>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</si>
  <si>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</si>
  <si>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</si>
  <si>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</si>
  <si>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</si>
  <si>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</si>
  <si>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</si>
  <si>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</si>
  <si>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</si>
  <si>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</si>
  <si>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</si>
  <si>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</si>
  <si>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</si>
  <si>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</si>
  <si>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</si>
  <si>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</si>
  <si>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</si>
  <si>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</si>
  <si>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</si>
  <si>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</si>
  <si>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</si>
  <si>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</si>
  <si>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</si>
  <si>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</si>
  <si>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</si>
  <si>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</si>
  <si>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</si>
  <si>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</si>
  <si>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</si>
  <si>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</si>
  <si>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</si>
  <si>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</si>
  <si>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</si>
  <si>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</si>
  <si>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</si>
  <si>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</si>
  <si>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</si>
  <si>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</si>
  <si>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</si>
  <si>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</si>
  <si>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</si>
  <si>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</si>
  <si>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</si>
  <si>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</si>
  <si>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</si>
  <si>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</si>
  <si>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</si>
  <si>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</si>
  <si>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</si>
  <si>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</si>
  <si>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</si>
  <si>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</si>
  <si>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</si>
  <si>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</si>
  <si>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</si>
  <si>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</si>
  <si>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</si>
  <si>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</si>
  <si>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</si>
  <si>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</si>
  <si>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</si>
  <si>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</si>
  <si>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</si>
  <si>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</si>
  <si>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</si>
  <si>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</si>
  <si>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</si>
  <si>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</si>
  <si>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</si>
  <si>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</si>
  <si>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</si>
  <si>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</si>
  <si>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</si>
  <si>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</si>
  <si>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</si>
  <si>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</si>
  <si>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</si>
  <si>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</si>
  <si>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</si>
  <si>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</si>
  <si>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</si>
  <si>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</si>
  <si>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</si>
  <si>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</si>
  <si>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</si>
  <si>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</si>
  <si>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</si>
  <si>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</si>
  <si>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</si>
  <si>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</si>
  <si>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</si>
  <si>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</si>
  <si>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</si>
  <si>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</si>
  <si>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</si>
  <si>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</si>
  <si>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</si>
  <si>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</si>
  <si>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</si>
  <si>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</si>
  <si>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</si>
  <si>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</si>
  <si>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</si>
  <si>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</si>
  <si>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</si>
  <si>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</si>
  <si>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</si>
  <si>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</si>
  <si>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</si>
  <si>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</si>
  <si>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</si>
  <si>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</si>
  <si>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</si>
  <si>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</si>
  <si>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</si>
  <si>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</si>
  <si>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</si>
  <si>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</si>
  <si>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</si>
  <si>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</si>
  <si>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</si>
  <si>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</si>
  <si>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</si>
  <si>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</si>
  <si>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</si>
  <si>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</si>
  <si>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</si>
  <si>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</si>
  <si>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</si>
  <si>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</si>
  <si>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</si>
  <si>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</si>
  <si>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</si>
  <si>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</si>
  <si>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</si>
  <si>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</si>
  <si>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</si>
  <si>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</si>
  <si>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</si>
  <si>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</si>
  <si>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</si>
  <si>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</si>
  <si>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</si>
  <si>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</si>
  <si>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</si>
  <si>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</si>
  <si>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</si>
  <si>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</si>
  <si>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</si>
  <si>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</si>
  <si>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</si>
  <si>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</si>
  <si>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</si>
  <si>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</si>
  <si>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</si>
  <si>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</si>
  <si>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</si>
  <si>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</si>
  <si>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</si>
  <si>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</si>
  <si>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</si>
  <si>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</si>
  <si>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</si>
  <si>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</si>
  <si>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</si>
  <si>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</si>
  <si>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</si>
  <si>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</si>
  <si>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</si>
  <si>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</si>
  <si>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</si>
  <si>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</si>
  <si>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</si>
  <si>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</si>
  <si>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</si>
  <si>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</si>
  <si>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</si>
  <si>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</si>
  <si>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</si>
  <si>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</si>
  <si>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</si>
  <si>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</si>
  <si>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</si>
  <si>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</si>
  <si>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</si>
  <si>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</si>
  <si>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</si>
  <si>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</si>
  <si>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</si>
  <si>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</si>
  <si>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</si>
  <si>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</si>
  <si>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</si>
  <si>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</si>
  <si>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</si>
  <si>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</si>
  <si>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</si>
  <si>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</si>
  <si>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</si>
  <si>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</si>
  <si>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</si>
  <si>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</si>
  <si>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</si>
  <si>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</si>
  <si>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</si>
  <si>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</si>
  <si>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</si>
  <si>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</si>
  <si>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</si>
  <si>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</si>
  <si>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</si>
  <si>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</si>
  <si>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</si>
  <si>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</si>
  <si>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</si>
  <si>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</si>
  <si>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</si>
  <si>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</si>
  <si>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</si>
  <si>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</si>
  <si>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</si>
  <si>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</si>
  <si>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</si>
  <si>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</si>
  <si>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</si>
  <si>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</si>
  <si>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</si>
  <si>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</si>
  <si>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</si>
  <si>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</si>
  <si>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</si>
  <si>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</si>
  <si>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</si>
  <si>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</si>
  <si>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</si>
  <si>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</si>
  <si>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</si>
  <si>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</si>
  <si>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</si>
  <si>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</si>
  <si>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</si>
  <si>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</si>
  <si>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</si>
  <si>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</si>
  <si>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</si>
  <si>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</si>
  <si>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</si>
  <si>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</si>
  <si>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</si>
  <si>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</si>
  <si>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</si>
  <si>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</si>
  <si>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</si>
  <si>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</si>
  <si>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</si>
  <si>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</si>
  <si>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</si>
  <si>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</si>
  <si>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</si>
  <si>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</si>
  <si>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</si>
  <si>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</si>
  <si>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</si>
  <si>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</si>
  <si>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</si>
  <si>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</si>
  <si>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</si>
  <si>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</si>
  <si>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</si>
  <si>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</si>
  <si>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</si>
  <si>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</si>
  <si>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</si>
  <si>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</si>
  <si>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</si>
  <si>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</si>
  <si>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</si>
  <si>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</si>
  <si>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</si>
  <si>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</si>
  <si>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</si>
  <si>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</si>
  <si>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</si>
  <si>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</si>
  <si>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</si>
  <si>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</si>
  <si>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</si>
  <si>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</si>
  <si>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</si>
  <si>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</si>
  <si>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</si>
  <si>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</si>
  <si>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</si>
  <si>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</si>
  <si>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</si>
  <si>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</si>
  <si>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</si>
  <si>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</si>
  <si>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</si>
  <si>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</si>
  <si>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</si>
  <si>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</si>
  <si>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</si>
  <si>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</si>
  <si>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</si>
  <si>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</si>
  <si>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</si>
  <si>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</si>
  <si>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</si>
  <si>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</si>
  <si>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</si>
  <si>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</si>
  <si>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</si>
  <si>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</si>
  <si>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</si>
  <si>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</si>
  <si>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</si>
  <si>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</si>
  <si>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</si>
  <si>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</si>
  <si>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</si>
  <si>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</si>
  <si>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</si>
  <si>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</si>
  <si>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</si>
  <si>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</si>
  <si>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</si>
  <si>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</si>
  <si>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</si>
  <si>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</si>
  <si>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</si>
  <si>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</si>
  <si>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</si>
  <si>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</si>
  <si>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</si>
  <si>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</si>
  <si>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</si>
  <si>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</si>
  <si>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</si>
  <si>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</si>
  <si>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</si>
  <si>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</si>
  <si>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</si>
  <si>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</si>
  <si>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</si>
  <si>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</si>
  <si>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</si>
  <si>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</si>
  <si>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</si>
  <si>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</si>
  <si>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</si>
  <si>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</si>
  <si>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</si>
  <si>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</si>
  <si>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</si>
  <si>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</si>
  <si>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</si>
  <si>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</si>
  <si>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</si>
  <si>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</si>
  <si>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</si>
  <si>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</si>
  <si>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</si>
  <si>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</si>
  <si>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</si>
  <si>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</si>
  <si>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</si>
  <si>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</si>
  <si>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</si>
  <si>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</si>
  <si>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</si>
  <si>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</si>
  <si>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</si>
  <si>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</si>
  <si>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</si>
  <si>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</si>
  <si>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</si>
  <si>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</si>
  <si>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</si>
  <si>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</si>
  <si>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</si>
  <si>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</si>
  <si>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</si>
  <si>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</si>
  <si>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</si>
  <si>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</si>
  <si>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</si>
  <si>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</si>
  <si>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</si>
  <si>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</si>
  <si>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</si>
  <si>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</si>
  <si>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</si>
  <si>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</si>
  <si>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</si>
  <si>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</si>
  <si>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</si>
  <si>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</si>
  <si>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</si>
  <si>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</si>
  <si>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</si>
  <si>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</si>
  <si>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</si>
  <si>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</si>
  <si>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</si>
  <si>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</si>
  <si>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</si>
  <si>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</si>
  <si>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</si>
  <si>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</si>
  <si>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</si>
  <si>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</si>
  <si>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</si>
  <si>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</si>
  <si>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</si>
  <si>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</si>
  <si>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</si>
  <si>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</si>
  <si>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</si>
  <si>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</si>
  <si>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</si>
  <si>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</si>
  <si>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</si>
  <si>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</si>
  <si>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</si>
  <si>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</si>
  <si>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</si>
  <si>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</si>
  <si>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</si>
  <si>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</si>
  <si>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</si>
  <si>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</si>
  <si>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</si>
  <si>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</si>
  <si>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</si>
  <si>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</si>
  <si>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</si>
  <si>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</si>
  <si>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</si>
  <si>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</si>
  <si>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</si>
  <si>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</si>
  <si>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</si>
  <si>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</si>
  <si>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</si>
  <si>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</si>
  <si>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</si>
  <si>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</si>
  <si>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</si>
  <si>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</si>
  <si>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</si>
  <si>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</si>
  <si>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</si>
  <si>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</si>
  <si>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</si>
  <si>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</si>
  <si>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</si>
  <si>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</si>
  <si>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</si>
  <si>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</si>
  <si>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</si>
  <si>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</si>
  <si>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</si>
  <si>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</si>
  <si>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</si>
  <si>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</si>
  <si>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</si>
  <si>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</si>
  <si>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</si>
  <si>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</si>
  <si>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</si>
  <si>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</si>
  <si>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</si>
  <si>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</si>
  <si>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</si>
  <si>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</si>
  <si>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</si>
  <si>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</si>
  <si>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</si>
  <si>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</si>
  <si>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</si>
  <si>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</si>
  <si>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</si>
  <si>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</si>
  <si>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</si>
  <si>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</si>
  <si>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</si>
  <si>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</si>
  <si>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</si>
  <si>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</si>
  <si>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</si>
  <si>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</si>
  <si>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</si>
  <si>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</si>
  <si>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</si>
  <si>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</si>
  <si>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</si>
  <si>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</si>
  <si>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</si>
  <si>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</si>
  <si>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</si>
  <si>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</si>
  <si>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</si>
  <si>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</si>
  <si>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</si>
  <si>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</si>
  <si>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</si>
  <si>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</si>
  <si>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</si>
  <si>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</si>
  <si>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</si>
  <si>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</si>
  <si>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</si>
  <si>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</si>
  <si>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</si>
  <si>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</si>
  <si>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</si>
  <si>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</si>
  <si>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</si>
  <si>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</si>
  <si>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</si>
  <si>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</si>
  <si>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</si>
  <si>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</si>
  <si>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</si>
  <si>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</si>
  <si>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</si>
  <si>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</si>
  <si>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</si>
  <si>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</si>
  <si>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</si>
  <si>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</si>
  <si>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</si>
  <si>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</si>
  <si>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</si>
  <si>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</si>
  <si>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</si>
  <si>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</si>
  <si>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</si>
  <si>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</si>
  <si>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</si>
  <si>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</si>
  <si>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</si>
  <si>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</si>
  <si>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</si>
  <si>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</si>
  <si>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</si>
  <si>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</si>
  <si>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</si>
  <si>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</si>
  <si>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</si>
  <si>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</si>
  <si>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</si>
  <si>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</si>
  <si>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</si>
  <si>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</si>
  <si>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</si>
  <si>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</si>
  <si>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</si>
  <si>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</si>
  <si>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</si>
  <si>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</si>
  <si>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</si>
  <si>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</si>
  <si>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</si>
  <si>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</si>
  <si>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</si>
  <si>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</si>
  <si>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</si>
  <si>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</si>
  <si>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</si>
  <si>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</si>
  <si>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</si>
  <si>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</si>
  <si>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</si>
  <si>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</si>
  <si>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</si>
  <si>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</si>
  <si>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</si>
  <si>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</si>
  <si>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</si>
  <si>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</si>
  <si>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</si>
  <si>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</si>
  <si>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</si>
  <si>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</si>
  <si>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</si>
  <si>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</si>
  <si>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</si>
  <si>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</si>
  <si>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</si>
  <si>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</si>
  <si>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</si>
  <si>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</si>
  <si>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</si>
  <si>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</si>
  <si>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</si>
  <si>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</si>
  <si>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</si>
  <si>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</si>
  <si>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</si>
  <si>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</si>
  <si>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</si>
  <si>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DIPESH GARG</t>
  </si>
  <si>
    <t>AJSPG3070D</t>
  </si>
  <si>
    <t>RAHUL JHUNJHUNWALA</t>
  </si>
  <si>
    <t>ACVPJ1647B</t>
  </si>
  <si>
    <t>PRIYESH GARG</t>
  </si>
  <si>
    <t>AWGPG0828A</t>
  </si>
  <si>
    <t>SHIV RATAN AGARWAL</t>
  </si>
  <si>
    <t>AAKPA1577E</t>
  </si>
  <si>
    <t>VANDANA AGARWAL</t>
  </si>
  <si>
    <t>AANPA6268M</t>
  </si>
  <si>
    <t>Sunil Agarwal</t>
  </si>
  <si>
    <t>ACTPA5231E</t>
  </si>
  <si>
    <t>MOHIT DILIP CHHEDA</t>
  </si>
  <si>
    <t>AAFFL7992M</t>
  </si>
  <si>
    <t>ABSPT8538P</t>
  </si>
  <si>
    <t>KISHOR AMRITALAL VYAS</t>
  </si>
  <si>
    <t>BFHPV2426N</t>
  </si>
  <si>
    <t>SWETA KEDIA</t>
  </si>
  <si>
    <t>AEDPJ8856Q</t>
  </si>
  <si>
    <t>ARUN KUMAR GANERIWALA</t>
  </si>
  <si>
    <t>ADWPG4436B</t>
  </si>
  <si>
    <t>512091</t>
  </si>
  <si>
    <t>INE425H01016</t>
  </si>
  <si>
    <t>Anshuni Commercials Limited</t>
  </si>
  <si>
    <t>31-12-2022</t>
  </si>
  <si>
    <t>SHASHI TODI</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</si>
</sst>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 #,##0.00_ ;_ * \-#,##0.00_ ;_ * &quot;-&quot;??_ ;_ @_ "/>
    <numFmt numFmtId="164" formatCode="0;[Red]0"/>
    <numFmt numFmtId="165" formatCode="0.00;[Red]0.00"/>
    <numFmt numFmtId="166"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40">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5" fontId="0" fillId="11" borderId="20"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5" fontId="0" fillId="11" borderId="58" xfId="0" applyNumberFormat="1" applyFill="1" applyBorder="1"/>
    <xf numFmtId="165"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5"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5"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4" fontId="0" fillId="20" borderId="11" xfId="0" applyNumberFormat="1" applyFill="1" applyBorder="1" applyProtection="1">
      <protection hidden="1"/>
    </xf>
    <xf numFmtId="164" fontId="0" fillId="20" borderId="12" xfId="0" applyNumberFormat="1" applyFill="1" applyBorder="1" applyProtection="1">
      <protection hidden="1"/>
    </xf>
    <xf numFmtId="164" fontId="0" fillId="20" borderId="13" xfId="0" applyNumberFormat="1" applyFill="1" applyBorder="1" applyProtection="1">
      <protection hidden="1"/>
    </xf>
    <xf numFmtId="164" fontId="0" fillId="20" borderId="2" xfId="0" applyNumberFormat="1" applyFill="1" applyBorder="1" applyProtection="1">
      <protection hidden="1"/>
    </xf>
    <xf numFmtId="164" fontId="0" fillId="20" borderId="33" xfId="0" applyNumberFormat="1" applyFill="1" applyBorder="1" applyProtection="1">
      <protection hidden="1"/>
    </xf>
    <xf numFmtId="164" fontId="0" fillId="20" borderId="3" xfId="0" applyNumberFormat="1" applyFill="1" applyBorder="1" applyProtection="1">
      <protection hidden="1"/>
    </xf>
    <xf numFmtId="164" fontId="0" fillId="20" borderId="6" xfId="0" applyNumberFormat="1" applyFill="1" applyBorder="1" applyProtection="1">
      <protection hidden="1"/>
    </xf>
    <xf numFmtId="164" fontId="0" fillId="20" borderId="0" xfId="0" applyNumberFormat="1" applyFill="1" applyBorder="1" applyProtection="1">
      <protection hidden="1"/>
    </xf>
    <xf numFmtId="164" fontId="0" fillId="20" borderId="7" xfId="0" applyNumberFormat="1" applyFill="1" applyBorder="1" applyProtection="1">
      <protection hidden="1"/>
    </xf>
    <xf numFmtId="164" fontId="0" fillId="20" borderId="9" xfId="0" applyNumberFormat="1" applyFill="1" applyBorder="1" applyProtection="1">
      <protection hidden="1"/>
    </xf>
    <xf numFmtId="164" fontId="0" fillId="20" borderId="17" xfId="0" applyNumberFormat="1" applyFill="1" applyBorder="1" applyProtection="1">
      <protection hidden="1"/>
    </xf>
    <xf numFmtId="164"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49" fontId="0" fillId="13" borderId="18" xfId="0" applyNumberFormat="1" applyFill="1" applyBorder="1" applyAlignment="1" applyProtection="1">
      <alignment horizontal="center" vertical="center"/>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0" fontId="1" fillId="4" borderId="20" xfId="0" applyFont="1" applyFill="1" applyBorder="1" applyAlignment="1">
      <alignment horizontal="right" wrapText="1"/>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4" borderId="4" xfId="0" applyFont="1" applyFill="1" applyBorder="1" applyAlignment="1">
      <alignment horizontal="center" vertical="center" wrapText="1"/>
    </xf>
    <xf numFmtId="1" fontId="0" fillId="4" borderId="4"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0" fillId="4" borderId="1" xfId="0"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0" fontId="0" fillId="8" borderId="4" xfId="0" applyFill="1" applyBorder="1" applyProtection="1">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left"/>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xmlns=""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xmlns=""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xmlns=""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xmlns=""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xmlns=""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xmlns=""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xmlns=""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xmlns=""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xmlns=""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xmlns=""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xmlns=""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xmlns=""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xmlns=""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xmlns=""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xmlns=""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16</xdr:row>
          <xdr:rowOff>66675</xdr:rowOff>
        </xdr:from>
        <xdr:to>
          <xdr:col>25</xdr:col>
          <xdr:colOff>1314450</xdr:colOff>
          <xdr:row>16</xdr:row>
          <xdr:rowOff>266700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xmlns=""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xmlns=""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xmlns=""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xmlns=""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xmlns=""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xmlns=""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xmlns=""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xmlns=""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xmlns=""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xmlns=""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xmlns=""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xmlns=""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xmlns=""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xmlns=""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xmlns=""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xmlns=""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xmlns=""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xmlns=""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xmlns=""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xmlns=""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xmlns=""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xmlns=""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xmlns=""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xmlns=""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xmlns=""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xmlns=""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xmlns=""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xmlns=""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xmlns=""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xmlns=""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xmlns=""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xmlns=""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xmlns=""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xmlns=""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xmlns=""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xmlns=""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xmlns=""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xmlns=""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xmlns=""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xmlns=""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xmlns=""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xmlns=""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xmlns=""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46082" name="Button 2" hidden="1">
              <a:extLst>
                <a:ext uri="{63B3BB69-23CF-44E3-9099-C40C66FF867C}">
                  <a14:compatExt spid="_x0000_s46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xmlns=""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xmlns=""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xmlns=""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xmlns=""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1314450</xdr:colOff>
          <xdr:row>16</xdr:row>
          <xdr:rowOff>266700</xdr:rowOff>
        </xdr:to>
        <xdr:sp macro="" textlink="">
          <xdr:nvSpPr>
            <xdr:cNvPr id="47107" name="Button 3" hidden="1">
              <a:extLst>
                <a:ext uri="{63B3BB69-23CF-44E3-9099-C40C66FF867C}">
                  <a14:compatExt spid="_x0000_s47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17</xdr:row>
          <xdr:rowOff>66675</xdr:rowOff>
        </xdr:from>
        <xdr:to>
          <xdr:col>23</xdr:col>
          <xdr:colOff>1314450</xdr:colOff>
          <xdr:row>17</xdr:row>
          <xdr:rowOff>266700</xdr:rowOff>
        </xdr:to>
        <xdr:sp macro="" textlink="">
          <xdr:nvSpPr>
            <xdr:cNvPr id="47108" name="Button 4" hidden="1">
              <a:extLst>
                <a:ext uri="{63B3BB69-23CF-44E3-9099-C40C66FF867C}">
                  <a14:compatExt spid="_x0000_s47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18</xdr:row>
          <xdr:rowOff>66675</xdr:rowOff>
        </xdr:from>
        <xdr:to>
          <xdr:col>23</xdr:col>
          <xdr:colOff>1314450</xdr:colOff>
          <xdr:row>18</xdr:row>
          <xdr:rowOff>266700</xdr:rowOff>
        </xdr:to>
        <xdr:sp macro="" textlink="">
          <xdr:nvSpPr>
            <xdr:cNvPr id="47109" name="Button 5" hidden="1">
              <a:extLst>
                <a:ext uri="{63B3BB69-23CF-44E3-9099-C40C66FF867C}">
                  <a14:compatExt spid="_x0000_s471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19</xdr:row>
          <xdr:rowOff>66675</xdr:rowOff>
        </xdr:from>
        <xdr:to>
          <xdr:col>23</xdr:col>
          <xdr:colOff>1314450</xdr:colOff>
          <xdr:row>19</xdr:row>
          <xdr:rowOff>266700</xdr:rowOff>
        </xdr:to>
        <xdr:sp macro="" textlink="">
          <xdr:nvSpPr>
            <xdr:cNvPr id="47110" name="Button 6" hidden="1">
              <a:extLst>
                <a:ext uri="{63B3BB69-23CF-44E3-9099-C40C66FF867C}">
                  <a14:compatExt spid="_x0000_s471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xmlns=""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xmlns=""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xmlns=""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xmlns=""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xmlns=""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xmlns=""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xmlns=""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xmlns=""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xmlns=""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xmlns=""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xmlns=""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xmlns=""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xmlns=""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xmlns=""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xmlns=""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xmlns=""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xmlns=""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xmlns=""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xmlns=""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xmlns=""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xmlns=""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xmlns=""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xmlns=""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xmlns=""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xmlns=""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xmlns=""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xmlns=""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xmlns=""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xmlns=""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45.xml"/><Relationship Id="rId4" Type="http://schemas.openxmlformats.org/officeDocument/2006/relationships/ctrlProp" Target="../ctrlProps/ctrlProp5.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6.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0.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workbookViewId="0">
      <selection activeCell="D15" sqref="D15:J15"/>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48"/>
    </row>
    <row r="3" spans="4:10">
      <c r="I3" s="248"/>
    </row>
    <row r="4" spans="4:10">
      <c r="I4" s="248"/>
    </row>
    <row r="5" spans="4:10">
      <c r="I5" s="248"/>
    </row>
    <row r="6" spans="4:10">
      <c r="E6" s="469" t="s">
        <v>396</v>
      </c>
      <c r="F6" s="470"/>
      <c r="G6" s="470"/>
      <c r="H6" s="470"/>
      <c r="I6" s="471"/>
    </row>
    <row r="7" spans="4:10">
      <c r="E7" s="249" t="s">
        <v>397</v>
      </c>
      <c r="F7" s="472" t="s">
        <v>398</v>
      </c>
      <c r="G7" s="473"/>
      <c r="H7" s="473"/>
      <c r="I7" s="474"/>
    </row>
    <row r="8" spans="4:10">
      <c r="E8" s="249" t="s">
        <v>399</v>
      </c>
      <c r="F8" s="472" t="s">
        <v>400</v>
      </c>
      <c r="G8" s="475"/>
      <c r="H8" s="475"/>
      <c r="I8" s="476"/>
    </row>
    <row r="9" spans="4:10">
      <c r="E9" s="249" t="s">
        <v>401</v>
      </c>
      <c r="F9" s="472" t="s">
        <v>402</v>
      </c>
      <c r="G9" s="475"/>
      <c r="H9" s="475"/>
      <c r="I9" s="476"/>
    </row>
    <row r="10" spans="4:10">
      <c r="E10" s="249" t="s">
        <v>403</v>
      </c>
      <c r="F10" s="472" t="s">
        <v>583</v>
      </c>
      <c r="G10" s="475"/>
      <c r="H10" s="475"/>
      <c r="I10" s="476"/>
    </row>
    <row r="11" spans="4:10">
      <c r="E11" s="249" t="s">
        <v>582</v>
      </c>
      <c r="F11" s="472" t="s">
        <v>431</v>
      </c>
      <c r="G11" s="475"/>
      <c r="H11" s="475"/>
      <c r="I11" s="476"/>
    </row>
    <row r="12" spans="4:10">
      <c r="E12" s="249" t="s">
        <v>586</v>
      </c>
      <c r="F12" s="472" t="s">
        <v>587</v>
      </c>
      <c r="G12" s="475"/>
      <c r="H12" s="475"/>
      <c r="I12" s="476"/>
    </row>
    <row r="13" spans="4:10">
      <c r="I13" s="248"/>
    </row>
    <row r="14" spans="4:10">
      <c r="I14" s="248"/>
    </row>
    <row r="15" spans="4:10">
      <c r="D15" s="477" t="s">
        <v>404</v>
      </c>
      <c r="E15" s="478"/>
      <c r="F15" s="478"/>
      <c r="G15" s="478"/>
      <c r="H15" s="478"/>
      <c r="I15" s="478"/>
      <c r="J15" s="479"/>
    </row>
    <row r="16" spans="4:10" ht="27.75" customHeight="1">
      <c r="D16" s="480" t="s">
        <v>405</v>
      </c>
      <c r="E16" s="480"/>
      <c r="F16" s="480"/>
      <c r="G16" s="480"/>
      <c r="H16" s="480"/>
      <c r="I16" s="480"/>
      <c r="J16" s="480"/>
    </row>
    <row r="17" spans="4:10" ht="45" customHeight="1">
      <c r="D17" s="481" t="s">
        <v>406</v>
      </c>
      <c r="E17" s="481"/>
      <c r="F17" s="481"/>
      <c r="G17" s="481"/>
      <c r="H17" s="481"/>
      <c r="I17" s="481"/>
      <c r="J17" s="481"/>
    </row>
    <row r="18" spans="4:10">
      <c r="D18" s="250"/>
      <c r="E18" s="250"/>
      <c r="F18" s="250"/>
      <c r="G18" s="250"/>
      <c r="H18" s="250"/>
      <c r="I18" s="251"/>
      <c r="J18" s="250"/>
    </row>
    <row r="19" spans="4:10">
      <c r="I19" s="248"/>
    </row>
    <row r="20" spans="4:10" ht="15.75">
      <c r="D20" s="460" t="s">
        <v>407</v>
      </c>
      <c r="E20" s="461"/>
      <c r="F20" s="461"/>
      <c r="G20" s="461"/>
      <c r="H20" s="461"/>
      <c r="I20" s="461"/>
      <c r="J20" s="462"/>
    </row>
    <row r="21" spans="4:10" ht="18" customHeight="1">
      <c r="D21" s="482" t="s">
        <v>408</v>
      </c>
      <c r="E21" s="483"/>
      <c r="F21" s="483"/>
      <c r="G21" s="483"/>
      <c r="H21" s="483"/>
      <c r="I21" s="483"/>
      <c r="J21" s="484"/>
    </row>
    <row r="22" spans="4:10" ht="16.5" customHeight="1">
      <c r="D22" s="485" t="s">
        <v>409</v>
      </c>
      <c r="E22" s="486"/>
      <c r="F22" s="486"/>
      <c r="G22" s="486"/>
      <c r="H22" s="486"/>
      <c r="I22" s="486"/>
      <c r="J22" s="487"/>
    </row>
    <row r="23" spans="4:10" ht="16.5" customHeight="1">
      <c r="D23" s="446" t="s">
        <v>410</v>
      </c>
      <c r="E23" s="447"/>
      <c r="F23" s="447"/>
      <c r="G23" s="447"/>
      <c r="H23" s="447"/>
      <c r="I23" s="447"/>
      <c r="J23" s="448"/>
    </row>
    <row r="24" spans="4:10" ht="18.75" customHeight="1">
      <c r="D24" s="446" t="s">
        <v>411</v>
      </c>
      <c r="E24" s="447"/>
      <c r="F24" s="447"/>
      <c r="G24" s="447"/>
      <c r="H24" s="447"/>
      <c r="I24" s="447"/>
      <c r="J24" s="448"/>
    </row>
    <row r="25" spans="4:10" ht="28.5" customHeight="1">
      <c r="D25" s="449" t="s">
        <v>412</v>
      </c>
      <c r="E25" s="450"/>
      <c r="F25" s="450"/>
      <c r="G25" s="450"/>
      <c r="H25" s="450"/>
      <c r="I25" s="450"/>
      <c r="J25" s="451"/>
    </row>
    <row r="26" spans="4:10">
      <c r="I26" s="248"/>
    </row>
    <row r="27" spans="4:10">
      <c r="I27" s="248"/>
    </row>
    <row r="28" spans="4:10" ht="15.75">
      <c r="D28" s="466" t="s">
        <v>413</v>
      </c>
      <c r="E28" s="467"/>
      <c r="F28" s="467"/>
      <c r="G28" s="467"/>
      <c r="H28" s="467"/>
      <c r="I28" s="467"/>
      <c r="J28" s="468"/>
    </row>
    <row r="29" spans="4:10">
      <c r="D29" s="252">
        <v>1</v>
      </c>
      <c r="E29" s="458" t="s">
        <v>414</v>
      </c>
      <c r="F29" s="459"/>
      <c r="G29" s="459"/>
      <c r="H29" s="459"/>
      <c r="I29" s="459"/>
      <c r="J29" s="255" t="s">
        <v>415</v>
      </c>
    </row>
    <row r="30" spans="4:10">
      <c r="D30" s="252">
        <v>2</v>
      </c>
      <c r="E30" s="458" t="s">
        <v>432</v>
      </c>
      <c r="F30" s="459"/>
      <c r="G30" s="459"/>
      <c r="H30" s="459"/>
      <c r="I30" s="459"/>
      <c r="J30" s="255" t="s">
        <v>432</v>
      </c>
    </row>
    <row r="31" spans="4:10">
      <c r="D31" s="252">
        <v>3</v>
      </c>
      <c r="E31" s="458" t="s">
        <v>433</v>
      </c>
      <c r="F31" s="459"/>
      <c r="G31" s="459"/>
      <c r="H31" s="459"/>
      <c r="I31" s="459"/>
      <c r="J31" s="255" t="s">
        <v>433</v>
      </c>
    </row>
    <row r="32" spans="4:10">
      <c r="D32" s="252">
        <v>4</v>
      </c>
      <c r="E32" s="458" t="s">
        <v>434</v>
      </c>
      <c r="F32" s="459"/>
      <c r="G32" s="459"/>
      <c r="H32" s="459"/>
      <c r="I32" s="459"/>
      <c r="J32" s="255" t="s">
        <v>434</v>
      </c>
    </row>
    <row r="33" spans="4:10">
      <c r="D33" s="252">
        <v>5</v>
      </c>
      <c r="E33" s="458" t="s">
        <v>848</v>
      </c>
      <c r="F33" s="459"/>
      <c r="G33" s="459"/>
      <c r="H33" s="459"/>
      <c r="I33" s="459"/>
      <c r="J33" s="255" t="s">
        <v>848</v>
      </c>
    </row>
    <row r="34" spans="4:10">
      <c r="D34" s="253"/>
      <c r="E34" s="253"/>
      <c r="F34" s="253"/>
      <c r="G34" s="253"/>
      <c r="H34" s="253"/>
      <c r="I34" s="254"/>
      <c r="J34" s="253"/>
    </row>
    <row r="35" spans="4:10">
      <c r="D35" s="253"/>
      <c r="E35" s="253"/>
      <c r="F35" s="253"/>
      <c r="G35" s="253"/>
      <c r="H35" s="253"/>
      <c r="I35" s="254"/>
      <c r="J35" s="253"/>
    </row>
    <row r="36" spans="4:10" ht="15.75">
      <c r="D36" s="460" t="s">
        <v>580</v>
      </c>
      <c r="E36" s="461"/>
      <c r="F36" s="461"/>
      <c r="G36" s="461"/>
      <c r="H36" s="461"/>
      <c r="I36" s="461"/>
      <c r="J36" s="462"/>
    </row>
    <row r="37" spans="4:10" ht="30" customHeight="1">
      <c r="D37" s="463" t="s">
        <v>581</v>
      </c>
      <c r="E37" s="464"/>
      <c r="F37" s="464"/>
      <c r="G37" s="464"/>
      <c r="H37" s="464"/>
      <c r="I37" s="464"/>
      <c r="J37" s="465"/>
    </row>
    <row r="38" spans="4:10">
      <c r="D38" s="253"/>
      <c r="E38" s="253"/>
      <c r="F38" s="253"/>
      <c r="G38" s="253"/>
      <c r="H38" s="253"/>
      <c r="I38" s="254"/>
      <c r="J38" s="253"/>
    </row>
    <row r="39" spans="4:10">
      <c r="D39" s="253"/>
      <c r="E39" s="253"/>
      <c r="F39" s="253"/>
      <c r="G39" s="253"/>
      <c r="H39" s="253"/>
      <c r="I39" s="254"/>
      <c r="J39" s="253"/>
    </row>
    <row r="40" spans="4:10">
      <c r="I40" s="248"/>
    </row>
    <row r="41" spans="4:10" ht="18" customHeight="1">
      <c r="D41" s="460" t="s">
        <v>584</v>
      </c>
      <c r="E41" s="461"/>
      <c r="F41" s="461"/>
      <c r="G41" s="461"/>
      <c r="H41" s="461"/>
      <c r="I41" s="461"/>
      <c r="J41" s="462"/>
    </row>
    <row r="42" spans="4:10" ht="60" customHeight="1">
      <c r="D42" s="492" t="s">
        <v>435</v>
      </c>
      <c r="E42" s="493"/>
      <c r="F42" s="493"/>
      <c r="G42" s="493"/>
      <c r="H42" s="493"/>
      <c r="I42" s="493"/>
      <c r="J42" s="494"/>
    </row>
    <row r="43" spans="4:10" ht="49.5" customHeight="1">
      <c r="D43" s="495" t="s">
        <v>416</v>
      </c>
      <c r="E43" s="496"/>
      <c r="F43" s="496"/>
      <c r="G43" s="496"/>
      <c r="H43" s="496"/>
      <c r="I43" s="496"/>
      <c r="J43" s="497"/>
    </row>
    <row r="44" spans="4:10" ht="53.25" customHeight="1">
      <c r="D44" s="495" t="s">
        <v>417</v>
      </c>
      <c r="E44" s="496"/>
      <c r="F44" s="496"/>
      <c r="G44" s="496"/>
      <c r="H44" s="496"/>
      <c r="I44" s="496"/>
      <c r="J44" s="497"/>
    </row>
    <row r="45" spans="4:10" ht="30" customHeight="1">
      <c r="D45" s="482" t="s">
        <v>418</v>
      </c>
      <c r="E45" s="498"/>
      <c r="F45" s="498"/>
      <c r="G45" s="498"/>
      <c r="H45" s="498"/>
      <c r="I45" s="498"/>
      <c r="J45" s="499"/>
    </row>
    <row r="46" spans="4:10" ht="56.25" customHeight="1">
      <c r="D46" s="452" t="s">
        <v>419</v>
      </c>
      <c r="E46" s="453"/>
      <c r="F46" s="453"/>
      <c r="G46" s="453"/>
      <c r="H46" s="453"/>
      <c r="I46" s="453"/>
      <c r="J46" s="454"/>
    </row>
    <row r="47" spans="4:10" ht="84.75" customHeight="1">
      <c r="D47" s="452" t="s">
        <v>420</v>
      </c>
      <c r="E47" s="453"/>
      <c r="F47" s="453"/>
      <c r="G47" s="453"/>
      <c r="H47" s="453"/>
      <c r="I47" s="453"/>
      <c r="J47" s="454"/>
    </row>
    <row r="48" spans="4:10" ht="61.5" customHeight="1">
      <c r="D48" s="455" t="s">
        <v>421</v>
      </c>
      <c r="E48" s="456"/>
      <c r="F48" s="456"/>
      <c r="G48" s="456"/>
      <c r="H48" s="456"/>
      <c r="I48" s="456"/>
      <c r="J48" s="457"/>
    </row>
    <row r="49" spans="4:10">
      <c r="I49" s="248"/>
    </row>
    <row r="50" spans="4:10">
      <c r="I50" s="248"/>
    </row>
    <row r="51" spans="4:10" ht="15.75">
      <c r="D51" s="466" t="s">
        <v>585</v>
      </c>
      <c r="E51" s="467"/>
      <c r="F51" s="467"/>
      <c r="G51" s="467"/>
      <c r="H51" s="467"/>
      <c r="I51" s="467"/>
      <c r="J51" s="468"/>
    </row>
    <row r="52" spans="4:10" ht="20.100000000000001" customHeight="1">
      <c r="D52" s="489" t="s">
        <v>422</v>
      </c>
      <c r="E52" s="489"/>
      <c r="F52" s="489"/>
      <c r="G52" s="489"/>
      <c r="H52" s="489"/>
      <c r="I52" s="489"/>
      <c r="J52" s="489"/>
    </row>
    <row r="53" spans="4:10" ht="20.100000000000001" customHeight="1">
      <c r="D53" s="489" t="s">
        <v>423</v>
      </c>
      <c r="E53" s="489"/>
      <c r="F53" s="489"/>
      <c r="G53" s="489"/>
      <c r="H53" s="489"/>
      <c r="I53" s="489"/>
      <c r="J53" s="489"/>
    </row>
    <row r="54" spans="4:10" ht="20.100000000000001" customHeight="1">
      <c r="D54" s="489" t="s">
        <v>424</v>
      </c>
      <c r="E54" s="489"/>
      <c r="F54" s="489"/>
      <c r="G54" s="489"/>
      <c r="H54" s="489"/>
      <c r="I54" s="489"/>
      <c r="J54" s="489"/>
    </row>
    <row r="55" spans="4:10" ht="42" customHeight="1">
      <c r="D55" s="489" t="s">
        <v>425</v>
      </c>
      <c r="E55" s="489"/>
      <c r="F55" s="489"/>
      <c r="G55" s="489"/>
      <c r="H55" s="489"/>
      <c r="I55" s="489"/>
      <c r="J55" s="489"/>
    </row>
    <row r="56" spans="4:10" ht="38.25" customHeight="1">
      <c r="D56" s="489" t="s">
        <v>426</v>
      </c>
      <c r="E56" s="489"/>
      <c r="F56" s="489"/>
      <c r="G56" s="489"/>
      <c r="H56" s="489"/>
      <c r="I56" s="489"/>
      <c r="J56" s="489"/>
    </row>
    <row r="57" spans="4:10" ht="38.25" customHeight="1">
      <c r="D57" s="490" t="s">
        <v>427</v>
      </c>
      <c r="E57" s="489"/>
      <c r="F57" s="489"/>
      <c r="G57" s="489"/>
      <c r="H57" s="489"/>
      <c r="I57" s="489"/>
      <c r="J57" s="489"/>
    </row>
    <row r="58" spans="4:10" ht="38.25" customHeight="1">
      <c r="D58" s="490" t="s">
        <v>428</v>
      </c>
      <c r="E58" s="489"/>
      <c r="F58" s="489"/>
      <c r="G58" s="489"/>
      <c r="H58" s="489"/>
      <c r="I58" s="489"/>
      <c r="J58" s="489"/>
    </row>
    <row r="59" spans="4:10" ht="25.5" customHeight="1">
      <c r="D59" s="491" t="s">
        <v>429</v>
      </c>
      <c r="E59" s="488"/>
      <c r="F59" s="488"/>
      <c r="G59" s="488"/>
      <c r="H59" s="488"/>
      <c r="I59" s="488"/>
      <c r="J59" s="488"/>
    </row>
    <row r="60" spans="4:10" ht="27.75" customHeight="1">
      <c r="D60" s="488" t="s">
        <v>430</v>
      </c>
      <c r="E60" s="488"/>
      <c r="F60" s="488"/>
      <c r="G60" s="488"/>
      <c r="H60" s="488"/>
      <c r="I60" s="488"/>
      <c r="J60" s="488"/>
    </row>
    <row r="61" spans="4:10">
      <c r="I61" s="248"/>
    </row>
    <row r="62" spans="4:10">
      <c r="I62" s="248"/>
    </row>
    <row r="63" spans="4:10">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53:J53"/>
    <mergeCell ref="D41:J41"/>
    <mergeCell ref="D42:J42"/>
    <mergeCell ref="D43:J43"/>
    <mergeCell ref="D44:J44"/>
    <mergeCell ref="D45:J45"/>
    <mergeCell ref="D46:J46"/>
    <mergeCell ref="D51:J51"/>
    <mergeCell ref="D52:J52"/>
    <mergeCell ref="D60:J60"/>
    <mergeCell ref="D54:J54"/>
    <mergeCell ref="D55:J55"/>
    <mergeCell ref="D56:J56"/>
    <mergeCell ref="D57:J57"/>
    <mergeCell ref="D58:J58"/>
    <mergeCell ref="D59:J59"/>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7:J47"/>
    <mergeCell ref="D48:J48"/>
    <mergeCell ref="E31:I31"/>
    <mergeCell ref="E32:I32"/>
    <mergeCell ref="D36:J36"/>
    <mergeCell ref="D37:J37"/>
    <mergeCell ref="D28:J28"/>
    <mergeCell ref="E29:I29"/>
    <mergeCell ref="E30:I30"/>
    <mergeCell ref="E33:I33"/>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7" workbookViewId="0">
      <selection activeCell="F16" sqref="F16"/>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 customHeight="1">
      <c r="S4" s="18" t="s">
        <v>444</v>
      </c>
      <c r="T4" s="18" t="s">
        <v>103</v>
      </c>
      <c r="W4" s="18" t="s">
        <v>445</v>
      </c>
    </row>
    <row r="5" spans="5:24" ht="30" customHeight="1">
      <c r="E5" s="501" t="s">
        <v>90</v>
      </c>
      <c r="F5" s="502"/>
      <c r="S5" s="18" t="s">
        <v>445</v>
      </c>
    </row>
    <row r="6" spans="5:24" ht="20.100000000000001" customHeight="1">
      <c r="E6" s="19" t="s">
        <v>106</v>
      </c>
      <c r="F6" s="276" t="s">
        <v>884</v>
      </c>
    </row>
    <row r="7" spans="5:24" ht="20.100000000000001" customHeight="1">
      <c r="E7" s="19" t="s">
        <v>450</v>
      </c>
      <c r="F7" s="276" t="s">
        <v>577</v>
      </c>
      <c r="M7" s="18" t="s">
        <v>356</v>
      </c>
      <c r="X7" s="18" t="s">
        <v>93</v>
      </c>
    </row>
    <row r="8" spans="5:24" ht="20.100000000000001" customHeight="1">
      <c r="E8" s="19" t="s">
        <v>451</v>
      </c>
      <c r="F8" s="351"/>
      <c r="M8" s="18" t="s">
        <v>357</v>
      </c>
      <c r="X8" s="18" t="s">
        <v>104</v>
      </c>
    </row>
    <row r="9" spans="5:24" ht="20.100000000000001" customHeight="1">
      <c r="E9" s="19" t="s">
        <v>452</v>
      </c>
      <c r="F9" s="276" t="s">
        <v>885</v>
      </c>
      <c r="M9" s="18" t="s">
        <v>358</v>
      </c>
    </row>
    <row r="10" spans="5:24" ht="20.100000000000001" customHeight="1">
      <c r="E10" s="19" t="s">
        <v>105</v>
      </c>
      <c r="F10" s="276" t="s">
        <v>886</v>
      </c>
      <c r="M10" s="18" t="s">
        <v>446</v>
      </c>
    </row>
    <row r="11" spans="5:24" ht="20.100000000000001" customHeight="1">
      <c r="E11" s="262" t="s">
        <v>442</v>
      </c>
      <c r="F11" s="205" t="s">
        <v>104</v>
      </c>
    </row>
    <row r="12" spans="5:24" ht="20.100000000000001" customHeight="1">
      <c r="E12" s="19" t="s">
        <v>91</v>
      </c>
      <c r="F12" s="308" t="s">
        <v>94</v>
      </c>
    </row>
    <row r="13" spans="5:24" ht="20.100000000000001" customHeight="1">
      <c r="E13" s="19" t="s">
        <v>222</v>
      </c>
      <c r="F13" s="308" t="s">
        <v>98</v>
      </c>
      <c r="R13" s="240"/>
    </row>
    <row r="14" spans="5:24" ht="27" customHeight="1">
      <c r="E14" s="19" t="s">
        <v>443</v>
      </c>
      <c r="F14" s="276" t="s">
        <v>887</v>
      </c>
      <c r="R14" s="241"/>
    </row>
    <row r="15" spans="5:24" ht="36.75" customHeight="1">
      <c r="E15" s="20" t="s">
        <v>92</v>
      </c>
      <c r="F15" s="445"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00"/>
      <c r="F18" s="500"/>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yod5hNW1vhHkF7HuM5elIxJy8o9bIvUq/KvyAgMoRUgU/JPIsDzVHwQnxNBqCSwLhqSQxGXuMWcozg28CW6UVA==" saltValue="RY4CeOscSomGYbcb3YmFmg=="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G20" sqref="G20"/>
    </sheetView>
  </sheetViews>
  <sheetFormatPr defaultColWidth="0" defaultRowHeight="15"/>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00000000000001" customHeight="1">
      <c r="D9" s="27">
        <v>1</v>
      </c>
      <c r="E9" s="318" t="s">
        <v>108</v>
      </c>
      <c r="F9" s="204" t="s">
        <v>104</v>
      </c>
      <c r="G9" s="438" t="s">
        <v>104</v>
      </c>
      <c r="H9" s="438" t="s">
        <v>104</v>
      </c>
      <c r="I9" s="438" t="s">
        <v>104</v>
      </c>
      <c r="M9" s="18">
        <v>1</v>
      </c>
      <c r="N9" s="18">
        <v>1</v>
      </c>
      <c r="O9" s="18">
        <v>1</v>
      </c>
      <c r="P9" s="18">
        <v>1</v>
      </c>
      <c r="R9" s="18" t="s">
        <v>495</v>
      </c>
      <c r="S9" s="18" t="s">
        <v>496</v>
      </c>
      <c r="T9" s="18" t="s">
        <v>497</v>
      </c>
      <c r="U9" s="18" t="s">
        <v>498</v>
      </c>
    </row>
    <row r="10" spans="1:21" ht="20.100000000000001" customHeight="1">
      <c r="D10" s="28">
        <v>2</v>
      </c>
      <c r="E10" s="319" t="s">
        <v>109</v>
      </c>
      <c r="F10" s="205" t="s">
        <v>104</v>
      </c>
      <c r="G10" s="439" t="s">
        <v>104</v>
      </c>
      <c r="H10" s="439" t="s">
        <v>104</v>
      </c>
      <c r="I10" s="439" t="s">
        <v>104</v>
      </c>
      <c r="M10" s="18">
        <v>1</v>
      </c>
      <c r="N10" s="18">
        <v>1</v>
      </c>
      <c r="O10" s="18">
        <v>1</v>
      </c>
      <c r="P10" s="18">
        <v>1</v>
      </c>
      <c r="R10" s="18" t="s">
        <v>499</v>
      </c>
      <c r="S10" s="18" t="s">
        <v>500</v>
      </c>
      <c r="T10" s="18" t="s">
        <v>501</v>
      </c>
      <c r="U10" s="18" t="s">
        <v>502</v>
      </c>
    </row>
    <row r="11" spans="1:21" ht="20.100000000000001" customHeight="1">
      <c r="D11" s="28">
        <v>3</v>
      </c>
      <c r="E11" s="319" t="s">
        <v>110</v>
      </c>
      <c r="F11" s="205" t="s">
        <v>104</v>
      </c>
      <c r="G11" s="439" t="s">
        <v>104</v>
      </c>
      <c r="H11" s="439" t="s">
        <v>104</v>
      </c>
      <c r="I11" s="439" t="s">
        <v>104</v>
      </c>
      <c r="M11" s="18">
        <v>1</v>
      </c>
      <c r="N11" s="18">
        <v>1</v>
      </c>
      <c r="O11" s="18">
        <v>1</v>
      </c>
      <c r="P11" s="18">
        <v>1</v>
      </c>
      <c r="R11" s="18" t="s">
        <v>503</v>
      </c>
      <c r="S11" s="18" t="s">
        <v>504</v>
      </c>
      <c r="T11" s="18" t="s">
        <v>505</v>
      </c>
      <c r="U11" s="18" t="s">
        <v>506</v>
      </c>
    </row>
    <row r="12" spans="1:21" ht="30">
      <c r="D12" s="28">
        <v>4</v>
      </c>
      <c r="E12" s="319" t="s">
        <v>111</v>
      </c>
      <c r="F12" s="205" t="s">
        <v>104</v>
      </c>
      <c r="G12" s="439" t="s">
        <v>104</v>
      </c>
      <c r="H12" s="439" t="s">
        <v>104</v>
      </c>
      <c r="I12" s="439" t="s">
        <v>104</v>
      </c>
      <c r="M12" s="18">
        <v>1</v>
      </c>
      <c r="N12" s="18">
        <v>1</v>
      </c>
      <c r="O12" s="18">
        <v>1</v>
      </c>
      <c r="P12" s="18">
        <v>1</v>
      </c>
      <c r="R12" s="18" t="s">
        <v>507</v>
      </c>
      <c r="S12" s="18" t="s">
        <v>508</v>
      </c>
      <c r="T12" s="18" t="s">
        <v>509</v>
      </c>
      <c r="U12" s="18" t="s">
        <v>510</v>
      </c>
    </row>
    <row r="13" spans="1:21" ht="21.75" customHeight="1">
      <c r="D13" s="28">
        <v>5</v>
      </c>
      <c r="E13" s="319" t="s">
        <v>112</v>
      </c>
      <c r="F13" s="205" t="s">
        <v>104</v>
      </c>
      <c r="G13" s="439" t="s">
        <v>104</v>
      </c>
      <c r="H13" s="440" t="s">
        <v>104</v>
      </c>
      <c r="I13" s="440" t="s">
        <v>104</v>
      </c>
      <c r="M13" s="18">
        <v>1</v>
      </c>
      <c r="N13" s="18">
        <v>1</v>
      </c>
      <c r="O13" s="18">
        <v>1</v>
      </c>
      <c r="P13" s="18">
        <v>1</v>
      </c>
      <c r="R13" s="18" t="s">
        <v>511</v>
      </c>
      <c r="S13" s="18" t="s">
        <v>512</v>
      </c>
      <c r="T13" s="18" t="s">
        <v>513</v>
      </c>
      <c r="U13" s="18" t="s">
        <v>514</v>
      </c>
    </row>
    <row r="14" spans="1:21" s="102" customFormat="1" ht="20.100000000000001" customHeight="1">
      <c r="A14" s="18"/>
      <c r="B14" s="18"/>
      <c r="C14" s="18"/>
      <c r="D14" s="106">
        <v>6</v>
      </c>
      <c r="E14" s="320" t="s">
        <v>113</v>
      </c>
      <c r="F14" s="312" t="s">
        <v>104</v>
      </c>
      <c r="G14" s="441" t="s">
        <v>104</v>
      </c>
      <c r="H14" s="310"/>
      <c r="I14" s="311"/>
      <c r="M14" s="102">
        <v>1</v>
      </c>
      <c r="N14" s="102">
        <v>1</v>
      </c>
      <c r="O14" s="102">
        <v>0</v>
      </c>
      <c r="P14" s="102">
        <v>0</v>
      </c>
      <c r="R14" s="102" t="s">
        <v>515</v>
      </c>
      <c r="S14" s="102" t="s">
        <v>516</v>
      </c>
      <c r="T14" s="102" t="s">
        <v>517</v>
      </c>
      <c r="U14" s="102" t="s">
        <v>518</v>
      </c>
    </row>
    <row r="15" spans="1:21" s="102" customFormat="1" ht="20.100000000000001" customHeight="1">
      <c r="A15" s="18"/>
      <c r="B15" s="18"/>
      <c r="C15" s="18"/>
      <c r="D15" s="106">
        <v>7</v>
      </c>
      <c r="E15" s="319" t="s">
        <v>381</v>
      </c>
      <c r="F15" s="369" t="s">
        <v>104</v>
      </c>
      <c r="G15" s="442" t="s">
        <v>104</v>
      </c>
      <c r="H15" s="443" t="s">
        <v>104</v>
      </c>
      <c r="I15" s="443" t="s">
        <v>104</v>
      </c>
      <c r="M15" s="102">
        <v>1</v>
      </c>
      <c r="N15" s="102">
        <v>1</v>
      </c>
      <c r="O15" s="102">
        <v>1</v>
      </c>
      <c r="P15" s="102">
        <v>1</v>
      </c>
      <c r="R15" s="102" t="s">
        <v>519</v>
      </c>
      <c r="S15" s="102" t="s">
        <v>520</v>
      </c>
      <c r="T15" s="102" t="s">
        <v>521</v>
      </c>
      <c r="U15" s="102" t="s">
        <v>522</v>
      </c>
    </row>
    <row r="16" spans="1:21" ht="21" customHeight="1">
      <c r="D16" s="29">
        <v>8</v>
      </c>
      <c r="E16" s="321" t="s">
        <v>600</v>
      </c>
      <c r="F16" s="370" t="s">
        <v>104</v>
      </c>
      <c r="G16" s="503"/>
      <c r="H16" s="504"/>
      <c r="I16" s="505"/>
      <c r="R16" s="198" t="s">
        <v>600</v>
      </c>
    </row>
  </sheetData>
  <sheetProtection algorithmName="SHA-512" hashValue="ze0pF2pC9rsYsigPkAXw5rT+mfezGczhE+291lH3mXXhAP0xJW73No88h+j2xHKK/aN6Yp3pHBUprsU78x2FbA==" saltValue="bAZ7TOiyzMmDxtMjGcCPyw=="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90" zoomScaleNormal="90" workbookViewId="0">
      <selection activeCell="D18" sqref="D18"/>
    </sheetView>
  </sheetViews>
  <sheetFormatPr defaultColWidth="0" defaultRowHeight="15"/>
  <cols>
    <col min="1" max="1" width="2.5703125" hidden="1" customWidth="1"/>
    <col min="2" max="3" width="9.140625" hidden="1" customWidth="1"/>
    <col min="4" max="4" width="9.140625"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8" width="17.140625" customWidth="1"/>
    <col min="29" max="30" width="2.28515625" customWidth="1"/>
    <col min="31" max="16383" width="9.140625" hidden="1"/>
    <col min="16384" max="16384" width="2.285156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12" t="s">
        <v>146</v>
      </c>
      <c r="F8" s="513"/>
      <c r="G8" s="513"/>
      <c r="H8" s="513"/>
      <c r="I8" s="513"/>
      <c r="J8" s="513"/>
      <c r="K8" s="513"/>
      <c r="L8" s="513"/>
      <c r="M8" s="513"/>
      <c r="N8" s="513"/>
      <c r="O8" s="513"/>
      <c r="P8" s="513"/>
      <c r="Q8" s="513"/>
      <c r="R8" s="513"/>
      <c r="S8" s="513"/>
      <c r="T8" s="513"/>
      <c r="U8" s="513"/>
      <c r="V8" s="513"/>
      <c r="W8" s="513"/>
      <c r="X8" s="513"/>
      <c r="Y8" s="513"/>
      <c r="Z8" s="513"/>
      <c r="AA8" s="513"/>
      <c r="AB8" s="514"/>
    </row>
    <row r="9" spans="5:28" ht="22.5" customHeight="1">
      <c r="E9" s="515" t="s">
        <v>374</v>
      </c>
      <c r="F9" s="516"/>
      <c r="G9" s="516"/>
      <c r="H9" s="516"/>
      <c r="I9" s="516"/>
      <c r="J9" s="516"/>
      <c r="K9" s="516"/>
      <c r="L9" s="516"/>
      <c r="M9" s="516"/>
      <c r="N9" s="516"/>
      <c r="O9" s="516"/>
      <c r="P9" s="516"/>
      <c r="Q9" s="516"/>
      <c r="R9" s="516"/>
      <c r="S9" s="516"/>
      <c r="T9" s="516"/>
      <c r="U9" s="516"/>
      <c r="V9" s="516"/>
      <c r="W9" s="516"/>
      <c r="X9" s="516"/>
      <c r="Y9" s="516"/>
      <c r="Z9" s="516"/>
      <c r="AA9" s="516"/>
      <c r="AB9" s="517"/>
    </row>
    <row r="10" spans="5:28" ht="27" customHeight="1">
      <c r="E10" s="510" t="s">
        <v>132</v>
      </c>
      <c r="F10" s="510" t="s">
        <v>133</v>
      </c>
      <c r="G10" s="510" t="s">
        <v>2</v>
      </c>
      <c r="H10" s="510" t="s">
        <v>3</v>
      </c>
      <c r="I10" s="510" t="s">
        <v>4</v>
      </c>
      <c r="J10" s="510" t="s">
        <v>5</v>
      </c>
      <c r="K10" s="510" t="s">
        <v>6</v>
      </c>
      <c r="L10" s="510" t="s">
        <v>7</v>
      </c>
      <c r="M10" s="521" t="s">
        <v>134</v>
      </c>
      <c r="N10" s="522"/>
      <c r="O10" s="522"/>
      <c r="P10" s="523"/>
      <c r="Q10" s="510" t="s">
        <v>9</v>
      </c>
      <c r="R10" s="524" t="s">
        <v>447</v>
      </c>
      <c r="S10" s="510" t="s">
        <v>116</v>
      </c>
      <c r="T10" s="510" t="s">
        <v>11</v>
      </c>
      <c r="U10" s="506" t="s">
        <v>12</v>
      </c>
      <c r="V10" s="507"/>
      <c r="W10" s="506" t="s">
        <v>13</v>
      </c>
      <c r="X10" s="507"/>
      <c r="Y10" s="510" t="s">
        <v>14</v>
      </c>
      <c r="Z10" s="518" t="s">
        <v>708</v>
      </c>
      <c r="AA10" s="519"/>
      <c r="AB10" s="520"/>
    </row>
    <row r="11" spans="5:28" ht="24" customHeight="1">
      <c r="E11" s="511"/>
      <c r="F11" s="511"/>
      <c r="G11" s="511"/>
      <c r="H11" s="511"/>
      <c r="I11" s="511"/>
      <c r="J11" s="511"/>
      <c r="K11" s="511"/>
      <c r="L11" s="511"/>
      <c r="M11" s="518" t="s">
        <v>328</v>
      </c>
      <c r="N11" s="519"/>
      <c r="O11" s="520"/>
      <c r="P11" s="511" t="s">
        <v>135</v>
      </c>
      <c r="Q11" s="511"/>
      <c r="R11" s="524"/>
      <c r="S11" s="511"/>
      <c r="T11" s="511"/>
      <c r="U11" s="508"/>
      <c r="V11" s="509"/>
      <c r="W11" s="508"/>
      <c r="X11" s="509"/>
      <c r="Y11" s="511"/>
      <c r="Z11" s="518" t="s">
        <v>709</v>
      </c>
      <c r="AA11" s="519"/>
      <c r="AB11" s="520"/>
    </row>
    <row r="12" spans="5:28" ht="79.5" customHeight="1">
      <c r="E12" s="511"/>
      <c r="F12" s="511"/>
      <c r="G12" s="511"/>
      <c r="H12" s="511"/>
      <c r="I12" s="511"/>
      <c r="J12" s="511"/>
      <c r="K12" s="511"/>
      <c r="L12" s="511"/>
      <c r="M12" s="65" t="s">
        <v>17</v>
      </c>
      <c r="N12" s="349" t="s">
        <v>18</v>
      </c>
      <c r="O12" s="349" t="s">
        <v>19</v>
      </c>
      <c r="P12" s="511"/>
      <c r="Q12" s="511"/>
      <c r="R12" s="510"/>
      <c r="S12" s="511"/>
      <c r="T12" s="511"/>
      <c r="U12" s="65" t="s">
        <v>20</v>
      </c>
      <c r="V12" s="65" t="s">
        <v>21</v>
      </c>
      <c r="W12" s="65" t="s">
        <v>20</v>
      </c>
      <c r="X12" s="65" t="s">
        <v>21</v>
      </c>
      <c r="Y12" s="511"/>
      <c r="Z12" s="414" t="s">
        <v>710</v>
      </c>
      <c r="AA12" s="414" t="s">
        <v>711</v>
      </c>
      <c r="AB12" s="414" t="s">
        <v>712</v>
      </c>
    </row>
    <row r="13" spans="5:28" ht="20.100000000000001" customHeight="1">
      <c r="E13" s="66" t="s">
        <v>136</v>
      </c>
      <c r="F13" s="56" t="s">
        <v>137</v>
      </c>
      <c r="G13" s="78">
        <f>+IFERROR(IF(COUNT('Shareholding Pattern'!H26),('Shareholding Pattern'!H26),""),"")</f>
        <v>3</v>
      </c>
      <c r="H13" s="78">
        <f>+IFERROR(IF(COUNT('Shareholding Pattern'!I26),('Shareholding Pattern'!I26),""),"")</f>
        <v>899950</v>
      </c>
      <c r="I13" s="78" t="str">
        <f>+IFERROR(IF(COUNT('Shareholding Pattern'!J26),('Shareholding Pattern'!J26),""),"")</f>
        <v/>
      </c>
      <c r="J13" s="78" t="str">
        <f>+IFERROR(IF(COUNT('Shareholding Pattern'!K26),('Shareholding Pattern'!K26),""),"")</f>
        <v/>
      </c>
      <c r="K13" s="78">
        <f>+IFERROR(IF(COUNT('Shareholding Pattern'!L26),('Shareholding Pattern'!L26),""),"")</f>
        <v>899950</v>
      </c>
      <c r="L13" s="185">
        <f>+IFERROR(IF(COUNT('Shareholding Pattern'!M26),('Shareholding Pattern'!M26),""),"")</f>
        <v>75</v>
      </c>
      <c r="M13" s="79">
        <f>+IFERROR(IF(COUNT('Shareholding Pattern'!N26),('Shareholding Pattern'!N26),""),"")</f>
        <v>899950</v>
      </c>
      <c r="N13" s="141" t="str">
        <f>+IFERROR(IF(COUNT('Shareholding Pattern'!O26),('Shareholding Pattern'!O26),""),"")</f>
        <v/>
      </c>
      <c r="O13" s="141">
        <f>+IFERROR(IF(COUNT('Shareholding Pattern'!P26),('Shareholding Pattern'!P26),""),"")</f>
        <v>899950</v>
      </c>
      <c r="P13" s="185">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5">
        <f>+IFERROR(IF(COUNT('Shareholding Pattern'!U26),('Shareholding Pattern'!U26),""),"")</f>
        <v>75</v>
      </c>
      <c r="U13" s="78" t="str">
        <f>+IFERROR(IF(COUNT('Shareholding Pattern'!V26),('Shareholding Pattern'!V26),""),"")</f>
        <v/>
      </c>
      <c r="V13" s="185" t="str">
        <f>+IFERROR(IF(COUNT('Shareholding Pattern'!W26),('Shareholding Pattern'!W26),""),"")</f>
        <v/>
      </c>
      <c r="W13" s="78" t="str">
        <f>+IFERROR(IF(COUNT('Shareholding Pattern'!X26),('Shareholding Pattern'!X26),""),"")</f>
        <v/>
      </c>
      <c r="X13" s="185" t="str">
        <f>+IFERROR(IF(COUNT('Shareholding Pattern'!Y26),('Shareholding Pattern'!Y26),""),"")</f>
        <v/>
      </c>
      <c r="Y13" s="78">
        <f>+IFERROR(IF(COUNT('Shareholding Pattern'!Z26),('Shareholding Pattern'!Z26),""),"")</f>
        <v>899950</v>
      </c>
      <c r="Z13" s="415"/>
      <c r="AA13" s="416"/>
      <c r="AB13" s="417"/>
    </row>
    <row r="14" spans="5:28" ht="20.100000000000001" customHeight="1">
      <c r="E14" s="66" t="s">
        <v>138</v>
      </c>
      <c r="F14" s="54" t="s">
        <v>139</v>
      </c>
      <c r="G14" s="78">
        <f>+IFERROR(IF(COUNT('Shareholding Pattern'!H71),('Shareholding Pattern'!H71),""),"")</f>
        <v>13</v>
      </c>
      <c r="H14" s="78">
        <f>+IFERROR(IF(COUNT('Shareholding Pattern'!I71),('Shareholding Pattern'!I71),""),"")</f>
        <v>300050</v>
      </c>
      <c r="I14" s="78" t="str">
        <f>+IFERROR(IF(COUNT('Shareholding Pattern'!J71),('Shareholding Pattern'!J71),""),"")</f>
        <v/>
      </c>
      <c r="J14" s="78" t="str">
        <f>+IFERROR(IF(COUNT('Shareholding Pattern'!K71),('Shareholding Pattern'!K71),""),"")</f>
        <v/>
      </c>
      <c r="K14" s="78">
        <f>+IFERROR(IF(COUNT('Shareholding Pattern'!L71),('Shareholding Pattern'!L71),""),"")</f>
        <v>300050</v>
      </c>
      <c r="L14" s="185">
        <f>+IFERROR(IF(COUNT('Shareholding Pattern'!M71),('Shareholding Pattern'!M71),""),"")</f>
        <v>25</v>
      </c>
      <c r="M14" s="268">
        <f>+IFERROR(IF(COUNT('Shareholding Pattern'!N71),('Shareholding Pattern'!N71),""),"")</f>
        <v>300050</v>
      </c>
      <c r="N14" s="141" t="str">
        <f>+IFERROR(IF(COUNT('Shareholding Pattern'!O71),('Shareholding Pattern'!O71),""),"")</f>
        <v/>
      </c>
      <c r="O14" s="141">
        <f>+IFERROR(IF(COUNT('Shareholding Pattern'!P71),('Shareholding Pattern'!P71),""),"")</f>
        <v>300050</v>
      </c>
      <c r="P14" s="185">
        <f>+IFERROR(IF(COUNT('Shareholding Pattern'!Q71),('Shareholding Pattern'!Q71),""),"")</f>
        <v>25</v>
      </c>
      <c r="Q14" s="78" t="str">
        <f>+IFERROR(IF(COUNT('Shareholding Pattern'!R71),('Shareholding Pattern'!R71),""),"")</f>
        <v/>
      </c>
      <c r="R14" s="78" t="str">
        <f>+IFERROR(IF(COUNT('Shareholding Pattern'!S71),('Shareholding Pattern'!S71),""),"")</f>
        <v/>
      </c>
      <c r="S14" s="78" t="str">
        <f>+IFERROR(IF(COUNT('Shareholding Pattern'!T71),('Shareholding Pattern'!T71),""),"")</f>
        <v/>
      </c>
      <c r="T14" s="185">
        <f>+IFERROR(IF(COUNT('Shareholding Pattern'!U71),('Shareholding Pattern'!U71),""),"")</f>
        <v>25</v>
      </c>
      <c r="U14" s="78" t="str">
        <f>+IFERROR(IF(COUNT('Shareholding Pattern'!V71),('Shareholding Pattern'!V71),""),"")</f>
        <v/>
      </c>
      <c r="V14" s="185" t="str">
        <f>+IFERROR(IF(COUNT('Shareholding Pattern'!W71),('Shareholding Pattern'!W71),""),"")</f>
        <v/>
      </c>
      <c r="W14" s="299"/>
      <c r="X14" s="300"/>
      <c r="Y14" s="78">
        <f>+IFERROR(IF(COUNT('Shareholding Pattern'!Z71),('Shareholding Pattern'!Z71),""),"")</f>
        <v>299800</v>
      </c>
      <c r="Z14" s="78">
        <f>+IFERROR(IF(COUNT('Shareholding Pattern'!AA71),('Shareholding Pattern'!AA71),""),"")</f>
        <v>0</v>
      </c>
      <c r="AA14" s="78">
        <f>+IFERROR(IF(COUNT('Shareholding Pattern'!AB71),('Shareholding Pattern'!AB71),""),"")</f>
        <v>0</v>
      </c>
      <c r="AB14" s="78">
        <f>+IFERROR(IF(COUNT('Shareholding Pattern'!AC71),('Shareholding Pattern'!AC71),""),"")</f>
        <v>0</v>
      </c>
    </row>
    <row r="15" spans="5:28" ht="20.100000000000001"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8"/>
      <c r="AA15" s="419"/>
      <c r="AB15" s="420"/>
    </row>
    <row r="16" spans="5:28" ht="20.100000000000001"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1"/>
      <c r="AA16" s="422"/>
      <c r="AB16" s="423"/>
    </row>
    <row r="17" spans="5:28" ht="20.100000000000001"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4"/>
      <c r="AA17" s="425"/>
      <c r="AB17" s="426"/>
    </row>
    <row r="18" spans="5:28" ht="18.75">
      <c r="E18" s="57"/>
      <c r="F18" s="69" t="s">
        <v>19</v>
      </c>
      <c r="G18" s="80">
        <f>+IFERROR(IF(COUNT('Shareholding Pattern'!H79),('Shareholding Pattern'!H79),""),"")</f>
        <v>16</v>
      </c>
      <c r="H18" s="80">
        <f>+IFERROR(IF(COUNT('Shareholding Pattern'!I79),('Shareholding Pattern'!I79),""),"")</f>
        <v>1200000</v>
      </c>
      <c r="I18" s="80" t="str">
        <f>+IFERROR(IF(COUNT('Shareholding Pattern'!J79),('Shareholding Pattern'!J79),""),"")</f>
        <v/>
      </c>
      <c r="J18" s="80" t="str">
        <f>+IFERROR(IF(COUNT('Shareholding Pattern'!K79),('Shareholding Pattern'!K79),""),"")</f>
        <v/>
      </c>
      <c r="K18" s="80">
        <f>+IFERROR(IF(COUNT('Shareholding Pattern'!L79),('Shareholding Pattern'!L79),""),"")</f>
        <v>1200000</v>
      </c>
      <c r="L18" s="275">
        <f>+IFERROR(IF(COUNT('Shareholding Pattern'!M79),('Shareholding Pattern'!M79),""),"")</f>
        <v>100</v>
      </c>
      <c r="M18" s="267">
        <f>+IFERROR(IF(COUNT('Shareholding Pattern'!N79),('Shareholding Pattern'!N79),""),"")</f>
        <v>1200000</v>
      </c>
      <c r="N18" s="350" t="str">
        <f>+IFERROR(IF(COUNT('Shareholding Pattern'!O79),('Shareholding Pattern'!O79),""),"")</f>
        <v/>
      </c>
      <c r="O18" s="350">
        <f>+IFERROR(IF(COUNT('Shareholding Pattern'!P79),('Shareholding Pattern'!P79),""),"")</f>
        <v>1200000</v>
      </c>
      <c r="P18" s="267">
        <f>+IFERROR(IF(COUNT('Shareholding Pattern'!Q79),('Shareholding Pattern'!Q79),""),"")</f>
        <v>100</v>
      </c>
      <c r="Q18" s="80" t="str">
        <f>+IFERROR(IF(COUNT('Shareholding Pattern'!R79),('Shareholding Pattern'!R79),""),"")</f>
        <v/>
      </c>
      <c r="R18" s="80" t="str">
        <f>+IFERROR(IF(COUNT('Shareholding Pattern'!S79),('Shareholding Pattern'!S79),""),"")</f>
        <v/>
      </c>
      <c r="S18" s="80" t="str">
        <f>+IFERROR(IF(COUNT('Shareholding Pattern'!T79),('Shareholding Pattern'!T79),""),"")</f>
        <v/>
      </c>
      <c r="T18" s="275">
        <f>+IFERROR(IF(COUNT('Shareholding Pattern'!U79),('Shareholding Pattern'!U79),""),"")</f>
        <v>100</v>
      </c>
      <c r="U18" s="80" t="str">
        <f>+IFERROR(IF(COUNT('Shareholding Pattern'!V79),('Shareholding Pattern'!V79),""),"")</f>
        <v/>
      </c>
      <c r="V18" s="267" t="str">
        <f>+IFERROR(IF(COUNT('Shareholding Pattern'!W79),('Shareholding Pattern'!W79),""),"")</f>
        <v/>
      </c>
      <c r="W18" s="80" t="str">
        <f>+IFERROR(IF(COUNT('Shareholding Pattern'!X79),('Shareholding Pattern'!X79),""),"")</f>
        <v/>
      </c>
      <c r="X18" s="267" t="str">
        <f>+IFERROR(IF(COUNT('Shareholding Pattern'!Y79),('Shareholding Pattern'!Y79),""),"")</f>
        <v/>
      </c>
      <c r="Y18" s="80">
        <f>+IFERROR(IF(COUNT('Shareholding Pattern'!Z79),('Shareholding Pattern'!Z79),""),"")</f>
        <v>1199750</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g/ye6ce/zY9V3UHh6ewL3wbNOJ8LMqe2pmViPWricDG98X4VoKut3Clna6VIlWXS7HxBHAusB9ezQ0EW16HcKA==" saltValue="l/a53WKyfraB3TwFSNLvbQ==" spinCount="100000" sheet="1" objects="1" scenarios="1"/>
  <mergeCells count="22">
    <mergeCell ref="J10:J12"/>
    <mergeCell ref="E10:E12"/>
    <mergeCell ref="F10:F12"/>
    <mergeCell ref="G10:G12"/>
    <mergeCell ref="H10:H12"/>
    <mergeCell ref="I10:I1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abSelected="1" topLeftCell="C7" zoomScale="90" zoomScaleNormal="90" workbookViewId="0">
      <pane xSplit="3" ySplit="5" topLeftCell="F12" activePane="bottomRight" state="frozen"/>
      <selection activeCell="C7" sqref="C7"/>
      <selection pane="topRight" activeCell="F7" sqref="F7"/>
      <selection pane="bottomLeft" activeCell="C12" sqref="C12"/>
      <selection pane="bottomRight" activeCell="F39" sqref="F39"/>
    </sheetView>
  </sheetViews>
  <sheetFormatPr defaultColWidth="0" defaultRowHeight="15"/>
  <cols>
    <col min="1" max="2" width="2.7109375" hidden="1" customWidth="1"/>
    <col min="3" max="4" width="2.7109375" customWidth="1"/>
    <col min="5" max="5" width="6.5703125" customWidth="1"/>
    <col min="6" max="6" width="46.5703125" customWidth="1"/>
    <col min="7" max="7" width="5.5703125" hidden="1" customWidth="1"/>
    <col min="8" max="10" width="20.7109375" style="143" customWidth="1"/>
    <col min="11" max="12" width="20.7109375" customWidth="1"/>
    <col min="13" max="13" width="20.7109375" style="122" customWidth="1"/>
    <col min="14" max="15" width="20.7109375" style="67" customWidth="1"/>
    <col min="16" max="16" width="20.7109375" style="143" customWidth="1"/>
    <col min="17" max="17" width="20.7109375" style="122" customWidth="1"/>
    <col min="18" max="20" width="20.7109375" style="143" customWidth="1"/>
    <col min="21" max="23" width="20.7109375" style="67" customWidth="1"/>
    <col min="24" max="24" width="20.7109375" style="143" customWidth="1"/>
    <col min="25" max="25" width="20.7109375" style="67" customWidth="1"/>
    <col min="26" max="26" width="20.7109375" style="143" customWidth="1"/>
    <col min="27" max="29" width="20.7109375" customWidth="1"/>
    <col min="30" max="32" width="5.5703125" customWidth="1"/>
    <col min="33" max="16383" width="5.5703125" hidden="1"/>
    <col min="16384" max="16384" width="4.42578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560" t="s">
        <v>115</v>
      </c>
      <c r="F9" s="553" t="s">
        <v>0</v>
      </c>
      <c r="G9" s="554"/>
      <c r="H9" s="552" t="s">
        <v>2</v>
      </c>
      <c r="I9" s="552" t="s">
        <v>3</v>
      </c>
      <c r="J9" s="552" t="s">
        <v>4</v>
      </c>
      <c r="K9" s="551" t="s">
        <v>5</v>
      </c>
      <c r="L9" s="551" t="s">
        <v>6</v>
      </c>
      <c r="M9" s="528" t="s">
        <v>7</v>
      </c>
      <c r="N9" s="525" t="s">
        <v>8</v>
      </c>
      <c r="O9" s="526"/>
      <c r="P9" s="526"/>
      <c r="Q9" s="527"/>
      <c r="R9" s="552" t="s">
        <v>9</v>
      </c>
      <c r="S9" s="570" t="s">
        <v>447</v>
      </c>
      <c r="T9" s="580" t="s">
        <v>116</v>
      </c>
      <c r="U9" s="579" t="s">
        <v>11</v>
      </c>
      <c r="V9" s="551" t="s">
        <v>12</v>
      </c>
      <c r="W9" s="551"/>
      <c r="X9" s="551" t="s">
        <v>13</v>
      </c>
      <c r="Y9" s="551"/>
      <c r="Z9" s="552" t="s">
        <v>14</v>
      </c>
      <c r="AA9" s="587" t="s">
        <v>708</v>
      </c>
      <c r="AB9" s="588"/>
      <c r="AC9" s="589"/>
    </row>
    <row r="10" spans="5:58" ht="28.5" customHeight="1">
      <c r="E10" s="561"/>
      <c r="F10" s="555"/>
      <c r="G10" s="556"/>
      <c r="H10" s="552"/>
      <c r="I10" s="552"/>
      <c r="J10" s="552"/>
      <c r="K10" s="551"/>
      <c r="L10" s="551"/>
      <c r="M10" s="528"/>
      <c r="N10" s="525" t="s">
        <v>15</v>
      </c>
      <c r="O10" s="526"/>
      <c r="P10" s="527"/>
      <c r="Q10" s="528" t="s">
        <v>16</v>
      </c>
      <c r="R10" s="552"/>
      <c r="S10" s="571"/>
      <c r="T10" s="552"/>
      <c r="U10" s="579"/>
      <c r="V10" s="551"/>
      <c r="W10" s="551"/>
      <c r="X10" s="551"/>
      <c r="Y10" s="551"/>
      <c r="Z10" s="552"/>
      <c r="AA10" s="518" t="s">
        <v>709</v>
      </c>
      <c r="AB10" s="519"/>
      <c r="AC10" s="520"/>
    </row>
    <row r="11" spans="5:58" ht="113.25" customHeight="1">
      <c r="E11" s="562"/>
      <c r="F11" s="557"/>
      <c r="G11" s="558"/>
      <c r="H11" s="552"/>
      <c r="I11" s="552"/>
      <c r="J11" s="552"/>
      <c r="K11" s="551"/>
      <c r="L11" s="551"/>
      <c r="M11" s="528"/>
      <c r="N11" s="139" t="s">
        <v>17</v>
      </c>
      <c r="O11" s="139" t="s">
        <v>18</v>
      </c>
      <c r="P11" s="144" t="s">
        <v>19</v>
      </c>
      <c r="Q11" s="528"/>
      <c r="R11" s="552"/>
      <c r="S11" s="572"/>
      <c r="T11" s="552"/>
      <c r="U11" s="579"/>
      <c r="V11" s="139" t="s">
        <v>20</v>
      </c>
      <c r="W11" s="68" t="s">
        <v>21</v>
      </c>
      <c r="X11" s="144" t="s">
        <v>20</v>
      </c>
      <c r="Y11" s="68" t="s">
        <v>21</v>
      </c>
      <c r="Z11" s="552"/>
      <c r="AA11" s="386" t="s">
        <v>710</v>
      </c>
      <c r="AB11" s="386" t="s">
        <v>711</v>
      </c>
      <c r="AC11" s="386" t="s">
        <v>712</v>
      </c>
    </row>
    <row r="12" spans="5:58" ht="18.75" customHeight="1">
      <c r="E12" s="119" t="s">
        <v>22</v>
      </c>
      <c r="F12" s="590" t="s">
        <v>23</v>
      </c>
      <c r="G12" s="591"/>
      <c r="H12" s="591"/>
      <c r="I12" s="591"/>
      <c r="J12" s="591"/>
      <c r="K12" s="591"/>
      <c r="L12" s="591"/>
      <c r="M12" s="591"/>
      <c r="N12" s="591"/>
      <c r="O12" s="591"/>
      <c r="P12" s="591"/>
      <c r="Q12" s="591"/>
      <c r="R12" s="591"/>
      <c r="S12" s="591"/>
      <c r="T12" s="591"/>
      <c r="U12" s="591"/>
      <c r="V12" s="591"/>
      <c r="W12" s="591"/>
      <c r="X12" s="591"/>
      <c r="Y12" s="591"/>
      <c r="Z12" s="591"/>
      <c r="AA12" s="591"/>
      <c r="AB12" s="591"/>
      <c r="AC12" s="592"/>
    </row>
    <row r="13" spans="5:58" ht="20.100000000000001"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2"/>
      <c r="AB13" s="145"/>
      <c r="AC13" s="343"/>
    </row>
    <row r="14" spans="5:58" ht="20.100000000000001" customHeight="1">
      <c r="E14" s="108" t="s">
        <v>26</v>
      </c>
      <c r="F14" s="227" t="s">
        <v>27</v>
      </c>
      <c r="G14" s="225"/>
      <c r="H14" s="187">
        <v>3</v>
      </c>
      <c r="I14" s="334">
        <v>899950</v>
      </c>
      <c r="J14" s="334" t="str">
        <f>+IF(COUNT(IndHUF!I19),IndHUF!I19,"")</f>
        <v/>
      </c>
      <c r="K14" s="132" t="str">
        <f>+IF(COUNT(IndHUF!J19),IndHUF!J19,"")</f>
        <v/>
      </c>
      <c r="L14" s="132">
        <f>+IF(COUNT(IndHUF!K19),IndHUF!K19,"")</f>
        <v>899950</v>
      </c>
      <c r="M14" s="169">
        <f>+IFERROR(IF(COUNT(L14),ROUND(L14/'Shareholding Pattern'!$L$78*100,2),""),0)</f>
        <v>75</v>
      </c>
      <c r="N14" s="186">
        <f>+IF(COUNT(+IndHUF!M19),SUM(+IndHUF!M19),"")</f>
        <v>899950</v>
      </c>
      <c r="O14" s="186" t="str">
        <f>+IF(COUNT(+IndHUF!N19),SUM(+IndHUF!N19),"")</f>
        <v/>
      </c>
      <c r="P14" s="334">
        <f>+IF(COUNT(IndHUF!O19),IndHUF!O19,"")</f>
        <v>899950</v>
      </c>
      <c r="Q14" s="169">
        <f>+IF(COUNT(IndHUF!P19),IndHUF!P19,"")</f>
        <v>75</v>
      </c>
      <c r="R14" s="334" t="str">
        <f>+IF(COUNT(IndHUF!Q19),IndHUF!Q19,"")</f>
        <v/>
      </c>
      <c r="S14" s="334" t="str">
        <f>+IF(COUNT(IndHUF!R19),IndHUF!R19,"")</f>
        <v/>
      </c>
      <c r="T14" s="334" t="str">
        <f>+IF(COUNT(IndHUF!S19),IndHUF!S19,"")</f>
        <v/>
      </c>
      <c r="U14" s="133">
        <f>+IFERROR(IF(COUNT(L14,T14),ROUND(SUM(L14,T14)/SUM('Shareholding Pattern'!$L$78,'Shareholding Pattern'!$T$78)*100,2),""),0)</f>
        <v>75</v>
      </c>
      <c r="V14" s="207" t="str">
        <f>+IF(COUNT(IndHUF!U19),IndHUF!U19,"")</f>
        <v/>
      </c>
      <c r="W14" s="182" t="str">
        <f>+IFERROR(IF(COUNT(V14),ROUND(SUM(V14)/SUM(L14)*100,2),""),0)</f>
        <v/>
      </c>
      <c r="X14" s="207" t="str">
        <f>+IF(COUNT(IndHUF!W19),IndHUF!W19,"")</f>
        <v/>
      </c>
      <c r="Y14" s="133" t="str">
        <f>+IFERROR(IF(COUNT(X14),ROUND(SUM(X14)/SUM(L14)*100,2),""),0)</f>
        <v/>
      </c>
      <c r="Z14" s="334">
        <v>899950</v>
      </c>
      <c r="AA14" s="581"/>
      <c r="AB14" s="582"/>
      <c r="AC14" s="583"/>
      <c r="AH14" t="s">
        <v>192</v>
      </c>
      <c r="AR14" t="s">
        <v>166</v>
      </c>
      <c r="AX14" t="s">
        <v>192</v>
      </c>
      <c r="AZ14" t="s">
        <v>329</v>
      </c>
      <c r="BF14" t="s">
        <v>282</v>
      </c>
    </row>
    <row r="15" spans="5:58" ht="20.100000000000001"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45"/>
      <c r="AB15" s="546"/>
      <c r="AC15" s="547"/>
      <c r="AH15" t="s">
        <v>193</v>
      </c>
      <c r="AR15" t="s">
        <v>167</v>
      </c>
      <c r="AX15" t="s">
        <v>193</v>
      </c>
      <c r="AZ15" t="s">
        <v>330</v>
      </c>
      <c r="BF15" t="s">
        <v>284</v>
      </c>
    </row>
    <row r="16" spans="5:58" ht="20.100000000000001"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45"/>
      <c r="AB16" s="546"/>
      <c r="AC16" s="547"/>
      <c r="AH16" t="s">
        <v>285</v>
      </c>
      <c r="AR16" t="s">
        <v>168</v>
      </c>
      <c r="AX16" t="s">
        <v>285</v>
      </c>
      <c r="AZ16" t="s">
        <v>199</v>
      </c>
      <c r="BF16" t="s">
        <v>305</v>
      </c>
    </row>
    <row r="17" spans="5:58" ht="20.100000000000001" customHeight="1">
      <c r="E17" s="112" t="s">
        <v>32</v>
      </c>
      <c r="F17" s="229" t="s">
        <v>33</v>
      </c>
      <c r="H17" s="188" t="str">
        <f>IFERROR(IF(COUNT(OtherIND!$AG$13),IF(OtherIND!$AG$13=0,"0",OtherIND!$AG$13),""),"")</f>
        <v/>
      </c>
      <c r="I17" s="335" t="str">
        <f>IFERROR(IF(COUNT(OtherIND!J16),(OtherIND!J16),""),"")</f>
        <v/>
      </c>
      <c r="J17" s="335" t="str">
        <f>IFERROR(IF(COUNT(OtherIND!K16),(OtherIND!K16),""),"")</f>
        <v/>
      </c>
      <c r="K17" s="134" t="str">
        <f>IFERROR(IF(COUNT(OtherIND!L16),(OtherIND!L16),""),"")</f>
        <v/>
      </c>
      <c r="L17" s="134" t="str">
        <f>IFERROR(IF(COUNT(OtherIND!M16),(OtherIND!M16),""),"")</f>
        <v/>
      </c>
      <c r="M17" s="211" t="str">
        <f>+IFERROR(IF(COUNT(L17),ROUND(L17/'Shareholding Pattern'!$L$78*100,2),""),0)</f>
        <v/>
      </c>
      <c r="N17" s="269" t="str">
        <f>IFERROR(IF(COUNT(OtherIND!O16),(OtherIND!O16),""),"")</f>
        <v/>
      </c>
      <c r="O17" s="186" t="str">
        <f>IFERROR(IF(COUNT(OtherIND!P16),(OtherIND!P16),""),"")</f>
        <v/>
      </c>
      <c r="P17" s="335" t="str">
        <f>IFERROR(IF(COUNT(OtherIND!Q16),(OtherIND!Q16),""),"")</f>
        <v/>
      </c>
      <c r="Q17" s="211" t="str">
        <f>IFERROR(IF(COUNT(OtherIND!R16),(OtherIND!R16),""),0)</f>
        <v/>
      </c>
      <c r="R17" s="335" t="str">
        <f>IFERROR(IF(COUNT(OtherIND!S16),(OtherIND!S16),""),"")</f>
        <v/>
      </c>
      <c r="S17" s="335" t="str">
        <f>IFERROR(IF(COUNT(OtherIND!T16),(OtherIND!T16),""),"")</f>
        <v/>
      </c>
      <c r="T17" s="335" t="str">
        <f>IFERROR(IF(COUNT(OtherIND!U16),(OtherIND!U16),""),"")</f>
        <v/>
      </c>
      <c r="U17" s="135" t="str">
        <f>+IFERROR(IF(COUNT(L17,T17),ROUND(SUM(L17,T17)/SUM('Shareholding Pattern'!$L$78,'Shareholding Pattern'!$T$78)*100,2),""),0)</f>
        <v/>
      </c>
      <c r="V17" s="207" t="str">
        <f>IFERROR(IF(COUNT(OtherIND!W16),(OtherIND!W16),""),"")</f>
        <v/>
      </c>
      <c r="W17" s="219" t="str">
        <f t="shared" si="0"/>
        <v/>
      </c>
      <c r="X17" s="207" t="str">
        <f>IFERROR(IF(COUNT(OtherIND!Y16),(OtherIND!Y16),""),"")</f>
        <v/>
      </c>
      <c r="Y17" s="135" t="str">
        <f t="shared" si="1"/>
        <v/>
      </c>
      <c r="Z17" s="335" t="str">
        <f>IFERROR(IF(COUNT(OtherIND!AA16),(OtherIND!AA16),""),"")</f>
        <v/>
      </c>
      <c r="AA17" s="545"/>
      <c r="AB17" s="546"/>
      <c r="AC17" s="547"/>
      <c r="AH17" t="s">
        <v>286</v>
      </c>
      <c r="AR17" t="s">
        <v>169</v>
      </c>
      <c r="AX17" t="s">
        <v>286</v>
      </c>
      <c r="AZ17" t="s">
        <v>332</v>
      </c>
      <c r="BF17" t="s">
        <v>315</v>
      </c>
    </row>
    <row r="18" spans="5:58" ht="20.100000000000001" customHeight="1">
      <c r="E18" s="534" t="s">
        <v>35</v>
      </c>
      <c r="F18" s="534"/>
      <c r="G18" s="534"/>
      <c r="H18" s="64">
        <f>+IFERROR(IF(COUNT(H14:H17),ROUND(SUM(H14:H17),0),""),"")</f>
        <v>3</v>
      </c>
      <c r="I18" s="64">
        <f t="shared" ref="I18:Z18" si="2">+IFERROR(IF(COUNT(I14:I17),ROUND(SUM(I14:I17),0),""),"")</f>
        <v>899950</v>
      </c>
      <c r="J18" s="64" t="str">
        <f t="shared" si="2"/>
        <v/>
      </c>
      <c r="K18" s="4" t="str">
        <f t="shared" si="2"/>
        <v/>
      </c>
      <c r="L18" s="64">
        <f t="shared" si="2"/>
        <v>899950</v>
      </c>
      <c r="M18" s="171">
        <f>+IFERROR(IF(COUNT(L18),ROUND(L18/'Shareholding Pattern'!$L$78*100,2),""),0)</f>
        <v>75</v>
      </c>
      <c r="N18" s="141">
        <f t="shared" si="2"/>
        <v>899950</v>
      </c>
      <c r="O18" s="141" t="str">
        <f t="shared" si="2"/>
        <v/>
      </c>
      <c r="P18" s="64">
        <f t="shared" si="2"/>
        <v>899950</v>
      </c>
      <c r="Q18" s="179">
        <f>IFERROR(IF(COUNT(P18),ROUND(P18/$P$79*100,2),""),0)</f>
        <v>75</v>
      </c>
      <c r="R18" s="64" t="str">
        <f t="shared" si="2"/>
        <v/>
      </c>
      <c r="S18" s="64" t="str">
        <f t="shared" si="2"/>
        <v/>
      </c>
      <c r="T18" s="64" t="str">
        <f t="shared" si="2"/>
        <v/>
      </c>
      <c r="U18" s="136">
        <f>+IFERROR(IF(COUNT(L18,T18),ROUND(SUM(L18,T18)/SUM('Shareholding Pattern'!$L$78,'Shareholding Pattern'!$T$78)*100,2),""),0)</f>
        <v>75</v>
      </c>
      <c r="V18" s="64" t="str">
        <f t="shared" si="2"/>
        <v/>
      </c>
      <c r="W18" s="183" t="str">
        <f>+IFERROR(IF(COUNT(V18),ROUND(SUM(V18)/SUM(L18)*100,2),""),0)</f>
        <v/>
      </c>
      <c r="X18" s="64" t="str">
        <f t="shared" si="2"/>
        <v/>
      </c>
      <c r="Y18" s="137" t="str">
        <f>+IFERROR(IF(COUNT(X18),ROUND(SUM(X18)/SUM(L18)*100,2),""),0)</f>
        <v/>
      </c>
      <c r="Z18" s="64">
        <f t="shared" si="2"/>
        <v>899950</v>
      </c>
      <c r="AA18" s="548"/>
      <c r="AB18" s="549"/>
      <c r="AC18" s="550"/>
      <c r="AR18" t="s">
        <v>170</v>
      </c>
      <c r="AX18" t="s">
        <v>287</v>
      </c>
      <c r="AZ18" t="s">
        <v>200</v>
      </c>
      <c r="BF18" t="s">
        <v>306</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48"/>
      <c r="AB19" s="549"/>
      <c r="AC19" s="550"/>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45"/>
      <c r="AB20" s="546"/>
      <c r="AC20" s="547"/>
      <c r="AH20" t="s">
        <v>287</v>
      </c>
      <c r="AR20" t="s">
        <v>171</v>
      </c>
      <c r="AX20" t="s">
        <v>40</v>
      </c>
      <c r="AZ20" t="s">
        <v>203</v>
      </c>
      <c r="BF20" t="s">
        <v>317</v>
      </c>
    </row>
    <row r="21" spans="5:58" ht="20.100000000000001"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45"/>
      <c r="AB21" s="546"/>
      <c r="AC21" s="547"/>
      <c r="AH21" t="s">
        <v>39</v>
      </c>
      <c r="AR21" t="s">
        <v>172</v>
      </c>
      <c r="AX21" t="s">
        <v>288</v>
      </c>
      <c r="AZ21" t="s">
        <v>202</v>
      </c>
      <c r="BF21" t="s">
        <v>308</v>
      </c>
    </row>
    <row r="22" spans="5:58" ht="20.100000000000001"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45"/>
      <c r="AB22" s="546"/>
      <c r="AC22" s="547"/>
      <c r="AH22" t="s">
        <v>40</v>
      </c>
      <c r="AR22" t="s">
        <v>174</v>
      </c>
      <c r="AX22" t="s">
        <v>289</v>
      </c>
      <c r="AZ22" t="s">
        <v>204</v>
      </c>
      <c r="BF22" t="s">
        <v>318</v>
      </c>
    </row>
    <row r="23" spans="5:58" ht="20.100000000000001"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45"/>
      <c r="AB23" s="546"/>
      <c r="AC23" s="547"/>
      <c r="AH23" t="s">
        <v>288</v>
      </c>
      <c r="AR23" t="s">
        <v>173</v>
      </c>
    </row>
    <row r="24" spans="5:58" ht="20.100000000000001"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45"/>
      <c r="AB24" s="546"/>
      <c r="AC24" s="547"/>
      <c r="AH24" t="s">
        <v>289</v>
      </c>
      <c r="AR24" t="s">
        <v>175</v>
      </c>
    </row>
    <row r="25" spans="5:58" ht="20.100000000000001" customHeight="1">
      <c r="E25" s="534" t="s">
        <v>43</v>
      </c>
      <c r="F25" s="534"/>
      <c r="G25" s="534"/>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48"/>
      <c r="AB25" s="549"/>
      <c r="AC25" s="550"/>
      <c r="AR25" t="s">
        <v>176</v>
      </c>
    </row>
    <row r="26" spans="5:58" ht="36.75" customHeight="1">
      <c r="E26" s="535" t="s">
        <v>88</v>
      </c>
      <c r="F26" s="535"/>
      <c r="G26" s="535"/>
      <c r="H26" s="158">
        <f t="shared" ref="H26:Z26" si="6">+IFERROR(IF(COUNT(H18,H25),ROUND(SUM(H18,H25),0),""),"")</f>
        <v>3</v>
      </c>
      <c r="I26" s="158">
        <f t="shared" si="6"/>
        <v>899950</v>
      </c>
      <c r="J26" s="158" t="str">
        <f t="shared" si="6"/>
        <v/>
      </c>
      <c r="K26" s="156" t="str">
        <f t="shared" si="6"/>
        <v/>
      </c>
      <c r="L26" s="158">
        <f t="shared" si="6"/>
        <v>899950</v>
      </c>
      <c r="M26" s="171">
        <f>+IFERROR(IF(COUNT(L26),ROUND(L26/'Shareholding Pattern'!$L$78*100,2),""),0)</f>
        <v>75</v>
      </c>
      <c r="N26" s="157">
        <f t="shared" si="6"/>
        <v>899950</v>
      </c>
      <c r="O26" s="157" t="str">
        <f t="shared" si="6"/>
        <v/>
      </c>
      <c r="P26" s="158">
        <f t="shared" si="6"/>
        <v>899950</v>
      </c>
      <c r="Q26" s="179">
        <f>IFERROR(IF(COUNT(P26),ROUND(P26/$P$79*100,2),""),0)</f>
        <v>75</v>
      </c>
      <c r="R26" s="336" t="str">
        <f t="shared" si="6"/>
        <v/>
      </c>
      <c r="S26" s="336" t="str">
        <f t="shared" si="6"/>
        <v/>
      </c>
      <c r="T26" s="158" t="str">
        <f t="shared" si="6"/>
        <v/>
      </c>
      <c r="U26" s="136">
        <f>+IFERROR(IF(COUNT(L26,T26),ROUND(SUM(L26,T26)/SUM('Shareholding Pattern'!$L$78,'Shareholding Pattern'!$T$78)*100,2),""),0)</f>
        <v>75</v>
      </c>
      <c r="V26" s="158" t="str">
        <f t="shared" si="6"/>
        <v/>
      </c>
      <c r="W26" s="183" t="str">
        <f>+IFERROR(IF(COUNT(V26),ROUND(SUM(V26)/SUM(L26)*100,2),""),0)</f>
        <v/>
      </c>
      <c r="X26" s="158" t="str">
        <f t="shared" si="6"/>
        <v/>
      </c>
      <c r="Y26" s="137" t="str">
        <f t="shared" si="4"/>
        <v/>
      </c>
      <c r="Z26" s="158">
        <f t="shared" si="6"/>
        <v>899950</v>
      </c>
      <c r="AA26" s="584"/>
      <c r="AB26" s="585"/>
      <c r="AC26" s="586"/>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3"/>
      <c r="AA28" s="403"/>
      <c r="AB28" s="403"/>
      <c r="AC28" s="345"/>
    </row>
    <row r="29" spans="5:58" ht="20.100000000000001" customHeight="1">
      <c r="E29" s="107" t="s">
        <v>24</v>
      </c>
      <c r="F29" s="593" t="s">
        <v>655</v>
      </c>
      <c r="G29" s="594"/>
      <c r="H29" s="594"/>
      <c r="I29" s="594"/>
      <c r="J29" s="594"/>
      <c r="K29" s="594"/>
      <c r="L29" s="594"/>
      <c r="M29" s="594"/>
      <c r="N29" s="594"/>
      <c r="O29" s="594"/>
      <c r="P29" s="594"/>
      <c r="Q29" s="594"/>
      <c r="R29" s="594"/>
      <c r="S29" s="594"/>
      <c r="T29" s="594"/>
      <c r="U29" s="594"/>
      <c r="V29" s="594"/>
      <c r="W29" s="594"/>
      <c r="X29" s="594"/>
      <c r="Y29" s="594"/>
      <c r="Z29" s="594"/>
      <c r="AA29" s="594"/>
      <c r="AB29" s="594"/>
      <c r="AC29" s="595"/>
    </row>
    <row r="30" spans="5:58" ht="20.100000000000001"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64"/>
      <c r="Y30" s="565"/>
      <c r="Z30" s="277"/>
      <c r="AA30" s="277"/>
      <c r="AB30" s="277"/>
      <c r="AC30" s="277"/>
      <c r="AH30" t="s">
        <v>290</v>
      </c>
      <c r="AR30" t="s">
        <v>271</v>
      </c>
      <c r="AX30" t="s">
        <v>290</v>
      </c>
      <c r="AZ30" t="s">
        <v>205</v>
      </c>
      <c r="BF30" t="s">
        <v>319</v>
      </c>
    </row>
    <row r="31" spans="5:58" ht="20.100000000000001"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66"/>
      <c r="Y31" s="567"/>
      <c r="Z31" s="277"/>
      <c r="AA31" s="277"/>
      <c r="AB31" s="277"/>
      <c r="AC31" s="277"/>
      <c r="AH31" t="s">
        <v>291</v>
      </c>
      <c r="AR31" t="s">
        <v>178</v>
      </c>
      <c r="AX31" t="s">
        <v>291</v>
      </c>
      <c r="AZ31" t="s">
        <v>206</v>
      </c>
      <c r="BF31" t="s">
        <v>309</v>
      </c>
    </row>
    <row r="32" spans="5:58" ht="20.100000000000001"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66"/>
      <c r="Y32" s="567"/>
      <c r="Z32" s="277"/>
      <c r="AA32" s="277"/>
      <c r="AB32" s="277"/>
      <c r="AC32" s="277"/>
      <c r="AH32" t="s">
        <v>799</v>
      </c>
      <c r="AR32" t="s">
        <v>179</v>
      </c>
      <c r="AX32" t="s">
        <v>799</v>
      </c>
      <c r="AZ32" t="s">
        <v>207</v>
      </c>
      <c r="BF32" t="s">
        <v>310</v>
      </c>
    </row>
    <row r="33" spans="5:58" ht="20.100000000000001"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66"/>
      <c r="Y33" s="567"/>
      <c r="Z33" s="277"/>
      <c r="AA33" s="277"/>
      <c r="AB33" s="277"/>
      <c r="AC33" s="277"/>
      <c r="AH33" t="s">
        <v>294</v>
      </c>
      <c r="AR33" t="s">
        <v>719</v>
      </c>
      <c r="AX33" t="s">
        <v>294</v>
      </c>
      <c r="AZ33" t="s">
        <v>745</v>
      </c>
      <c r="BF33" t="s">
        <v>744</v>
      </c>
    </row>
    <row r="34" spans="5:58" ht="20.100000000000001"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66"/>
      <c r="Y34" s="567"/>
      <c r="Z34" s="277"/>
      <c r="AA34" s="277"/>
      <c r="AB34" s="277"/>
      <c r="AC34" s="277"/>
      <c r="AH34" t="s">
        <v>295</v>
      </c>
      <c r="AR34" t="s">
        <v>181</v>
      </c>
      <c r="AX34" t="s">
        <v>295</v>
      </c>
      <c r="AZ34" t="s">
        <v>209</v>
      </c>
      <c r="BF34" t="s">
        <v>312</v>
      </c>
    </row>
    <row r="35" spans="5:58" ht="20.100000000000001"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66"/>
      <c r="Y35" s="567"/>
      <c r="Z35" s="277"/>
      <c r="AA35" s="277"/>
      <c r="AB35" s="277"/>
      <c r="AC35" s="277"/>
      <c r="AH35" t="s">
        <v>296</v>
      </c>
      <c r="AR35" t="s">
        <v>182</v>
      </c>
      <c r="AX35" t="s">
        <v>296</v>
      </c>
      <c r="AZ35" t="s">
        <v>210</v>
      </c>
      <c r="BF35" t="s">
        <v>313</v>
      </c>
    </row>
    <row r="36" spans="5:58" ht="20.100000000000001" customHeight="1">
      <c r="E36" s="109" t="s">
        <v>51</v>
      </c>
      <c r="F36" s="381"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66"/>
      <c r="Y36" s="567"/>
      <c r="Z36" s="277"/>
      <c r="AA36" s="277"/>
      <c r="AB36" s="277"/>
      <c r="AC36" s="277"/>
      <c r="AH36" t="s">
        <v>826</v>
      </c>
      <c r="AR36" t="s">
        <v>720</v>
      </c>
      <c r="AX36" t="s">
        <v>826</v>
      </c>
      <c r="AZ36" t="s">
        <v>747</v>
      </c>
      <c r="BF36" t="s">
        <v>746</v>
      </c>
    </row>
    <row r="37" spans="5:58" ht="20.100000000000001" customHeight="1">
      <c r="E37" s="109" t="s">
        <v>53</v>
      </c>
      <c r="F37" s="387"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66"/>
      <c r="Y37" s="567"/>
      <c r="Z37" s="277"/>
      <c r="AA37" s="277"/>
      <c r="AB37" s="277"/>
      <c r="AC37" s="277"/>
      <c r="AH37" t="s">
        <v>827</v>
      </c>
      <c r="AR37" t="s">
        <v>721</v>
      </c>
      <c r="AX37" t="s">
        <v>827</v>
      </c>
      <c r="AZ37" t="s">
        <v>749</v>
      </c>
      <c r="BF37" t="s">
        <v>748</v>
      </c>
    </row>
    <row r="38" spans="5:58" ht="20.100000000000001" customHeight="1">
      <c r="E38" s="376"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66"/>
      <c r="Y38" s="567"/>
      <c r="Z38" s="277"/>
      <c r="AA38" s="277"/>
      <c r="AB38" s="277"/>
      <c r="AC38" s="277"/>
      <c r="AH38" t="s">
        <v>197</v>
      </c>
      <c r="AR38" t="s">
        <v>183</v>
      </c>
      <c r="AX38" t="s">
        <v>197</v>
      </c>
      <c r="AZ38" t="s">
        <v>331</v>
      </c>
      <c r="BF38" t="s">
        <v>314</v>
      </c>
    </row>
    <row r="39" spans="5:58" ht="20.100000000000001" customHeight="1">
      <c r="E39" s="109" t="s">
        <v>670</v>
      </c>
      <c r="F39" s="388"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66"/>
      <c r="Y39" s="567"/>
      <c r="Z39" s="277"/>
      <c r="AA39" s="277"/>
      <c r="AB39" s="277"/>
      <c r="AC39" s="277"/>
      <c r="AH39" t="s">
        <v>654</v>
      </c>
      <c r="AR39" t="s">
        <v>722</v>
      </c>
      <c r="AX39" t="s">
        <v>654</v>
      </c>
      <c r="AZ39" t="s">
        <v>752</v>
      </c>
      <c r="BF39" t="s">
        <v>750</v>
      </c>
    </row>
    <row r="40" spans="5:58" ht="20.100000000000001"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66"/>
      <c r="Y40" s="567"/>
      <c r="Z40" s="277"/>
      <c r="AA40" s="277"/>
      <c r="AB40" s="277"/>
      <c r="AC40" s="277"/>
      <c r="AH40" t="s">
        <v>297</v>
      </c>
      <c r="AR40" t="s">
        <v>723</v>
      </c>
      <c r="AX40" t="s">
        <v>297</v>
      </c>
      <c r="AZ40" t="s">
        <v>753</v>
      </c>
      <c r="BF40" t="s">
        <v>751</v>
      </c>
    </row>
    <row r="41" spans="5:58" ht="20.100000000000001" customHeight="1">
      <c r="E41" s="534" t="s">
        <v>56</v>
      </c>
      <c r="F41" s="534"/>
      <c r="G41" s="534"/>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68"/>
      <c r="Y41" s="569"/>
      <c r="Z41" s="64" t="str">
        <f>+IFERROR(IF(COUNT(Z30:Z40),ROUND(SUM(Z30:Z40),0),""),"")</f>
        <v/>
      </c>
      <c r="AA41" s="64" t="str">
        <f t="shared" ref="AA41:AC41" si="12">+IFERROR(IF(COUNT(AA30:AA40),ROUND(SUM(AA30:AA40),0),""),"")</f>
        <v/>
      </c>
      <c r="AB41" s="64" t="str">
        <f t="shared" si="12"/>
        <v/>
      </c>
      <c r="AC41" s="64" t="str">
        <f t="shared" si="12"/>
        <v/>
      </c>
      <c r="AR41" t="s">
        <v>805</v>
      </c>
    </row>
    <row r="42" spans="5:58" ht="20.100000000000001" customHeight="1">
      <c r="E42" s="107" t="s">
        <v>36</v>
      </c>
      <c r="F42" s="537" t="s">
        <v>656</v>
      </c>
      <c r="G42" s="538"/>
      <c r="H42" s="538"/>
      <c r="I42" s="538"/>
      <c r="J42" s="538"/>
      <c r="K42" s="538"/>
      <c r="L42" s="538"/>
      <c r="M42" s="538"/>
      <c r="N42" s="538"/>
      <c r="O42" s="538"/>
      <c r="P42" s="538"/>
      <c r="Q42" s="538"/>
      <c r="R42" s="538"/>
      <c r="S42" s="538"/>
      <c r="T42" s="538"/>
      <c r="U42" s="538"/>
      <c r="V42" s="538"/>
      <c r="W42" s="538"/>
      <c r="X42" s="538"/>
      <c r="Y42" s="538"/>
      <c r="Z42" s="538"/>
      <c r="AA42" s="538"/>
      <c r="AB42" s="538"/>
      <c r="AC42" s="539"/>
    </row>
    <row r="43" spans="5:58" ht="20.100000000000001" customHeight="1">
      <c r="E43" s="109" t="s">
        <v>26</v>
      </c>
      <c r="F43" s="389"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64"/>
      <c r="Y43" s="565"/>
      <c r="Z43" s="277"/>
      <c r="AA43" s="277"/>
      <c r="AB43" s="277"/>
      <c r="AC43" s="277"/>
      <c r="AH43" t="s">
        <v>657</v>
      </c>
      <c r="AR43" t="s">
        <v>724</v>
      </c>
      <c r="AX43" t="s">
        <v>657</v>
      </c>
      <c r="AZ43" t="s">
        <v>755</v>
      </c>
      <c r="BF43" t="s">
        <v>754</v>
      </c>
    </row>
    <row r="44" spans="5:58" ht="20.100000000000001"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66"/>
      <c r="Y44" s="567"/>
      <c r="Z44" s="277"/>
      <c r="AA44" s="277"/>
      <c r="AB44" s="277"/>
      <c r="AC44" s="277"/>
      <c r="AH44" t="s">
        <v>292</v>
      </c>
      <c r="AR44" t="s">
        <v>180</v>
      </c>
      <c r="AX44" t="s">
        <v>292</v>
      </c>
      <c r="AZ44" t="s">
        <v>208</v>
      </c>
      <c r="BF44" t="s">
        <v>311</v>
      </c>
    </row>
    <row r="45" spans="5:58" ht="20.100000000000001" customHeight="1">
      <c r="E45" s="109" t="s">
        <v>30</v>
      </c>
      <c r="F45" s="390"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66"/>
      <c r="Y45" s="567"/>
      <c r="Z45" s="277"/>
      <c r="AA45" s="277"/>
      <c r="AB45" s="277"/>
      <c r="AC45" s="277"/>
      <c r="AH45" t="s">
        <v>691</v>
      </c>
      <c r="AR45" t="s">
        <v>725</v>
      </c>
      <c r="AX45" t="s">
        <v>691</v>
      </c>
      <c r="AZ45" t="s">
        <v>757</v>
      </c>
      <c r="BF45" t="s">
        <v>756</v>
      </c>
    </row>
    <row r="46" spans="5:58" ht="20.100000000000001" customHeight="1">
      <c r="E46" s="109" t="s">
        <v>32</v>
      </c>
      <c r="F46" s="233" t="s">
        <v>648</v>
      </c>
      <c r="H46" s="277"/>
      <c r="I46" s="277"/>
      <c r="J46" s="277"/>
      <c r="K46" s="131"/>
      <c r="L46" s="188" t="str">
        <f t="shared" si="8"/>
        <v/>
      </c>
      <c r="M46" s="213" t="str">
        <f>+IFERROR(IF(COUNT(L46),ROUND(L46/'Shareholding Pattern'!$L$78*100,2),""),"")</f>
        <v/>
      </c>
      <c r="N46" s="305"/>
      <c r="O46" s="131"/>
      <c r="P46" s="188" t="str">
        <f t="shared" si="9"/>
        <v/>
      </c>
      <c r="Q46" s="178" t="str">
        <f>+IFERROR(IF(COUNT(P46),ROUND(P46/'Shareholding Pattern'!$P$79*100,2),""),"")</f>
        <v/>
      </c>
      <c r="R46" s="277"/>
      <c r="S46" s="277"/>
      <c r="T46" s="188" t="str">
        <f t="shared" si="13"/>
        <v/>
      </c>
      <c r="U46" s="214" t="str">
        <f>+IFERROR(IF(COUNT(L46,T46),ROUND(SUM(L46,T46)/SUM('Shareholding Pattern'!$L$78,'Shareholding Pattern'!$T$78)*100,2),""),"")</f>
        <v/>
      </c>
      <c r="V46" s="131"/>
      <c r="W46" s="182" t="str">
        <f t="shared" si="7"/>
        <v/>
      </c>
      <c r="X46" s="566"/>
      <c r="Y46" s="567"/>
      <c r="Z46" s="277"/>
      <c r="AA46" s="277"/>
      <c r="AB46" s="277"/>
      <c r="AC46" s="277"/>
      <c r="AH46" t="s">
        <v>293</v>
      </c>
      <c r="AR46" t="s">
        <v>726</v>
      </c>
      <c r="AX46" t="s">
        <v>293</v>
      </c>
      <c r="AZ46" t="s">
        <v>759</v>
      </c>
      <c r="BF46" t="s">
        <v>758</v>
      </c>
    </row>
    <row r="47" spans="5:58" ht="20.100000000000001" customHeight="1">
      <c r="E47" s="109" t="s">
        <v>42</v>
      </c>
      <c r="F47" s="391" t="s">
        <v>658</v>
      </c>
      <c r="H47" s="277"/>
      <c r="I47" s="277"/>
      <c r="J47" s="277"/>
      <c r="K47" s="131"/>
      <c r="L47" s="188" t="str">
        <f t="shared" si="8"/>
        <v/>
      </c>
      <c r="M47" s="213" t="str">
        <f>+IFERROR(IF(COUNT(L47),ROUND(L47/'Shareholding Pattern'!$L$78*100,2),""),"")</f>
        <v/>
      </c>
      <c r="N47" s="305"/>
      <c r="O47" s="131"/>
      <c r="P47" s="188" t="str">
        <f t="shared" si="9"/>
        <v/>
      </c>
      <c r="Q47" s="178" t="str">
        <f>+IFERROR(IF(COUNT(P47),ROUND(P47/'Shareholding Pattern'!$P$79*100,2),""),"")</f>
        <v/>
      </c>
      <c r="R47" s="277"/>
      <c r="S47" s="277"/>
      <c r="T47" s="188" t="str">
        <f t="shared" si="13"/>
        <v/>
      </c>
      <c r="U47" s="214" t="str">
        <f>+IFERROR(IF(COUNT(L47,T47),ROUND(SUM(L47,T47)/SUM('Shareholding Pattern'!$L$78,'Shareholding Pattern'!$T$78)*100,2),""),"")</f>
        <v/>
      </c>
      <c r="V47" s="131"/>
      <c r="W47" s="182" t="str">
        <f t="shared" si="7"/>
        <v/>
      </c>
      <c r="X47" s="566"/>
      <c r="Y47" s="567"/>
      <c r="Z47" s="277"/>
      <c r="AA47" s="277"/>
      <c r="AB47" s="277"/>
      <c r="AC47" s="277"/>
      <c r="AH47" t="s">
        <v>694</v>
      </c>
      <c r="AR47" t="s">
        <v>727</v>
      </c>
      <c r="AX47" t="s">
        <v>694</v>
      </c>
      <c r="AZ47" t="s">
        <v>761</v>
      </c>
      <c r="BF47" t="s">
        <v>760</v>
      </c>
    </row>
    <row r="48" spans="5:58" ht="30">
      <c r="E48" s="377"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66"/>
      <c r="Y48" s="567"/>
      <c r="Z48" s="277"/>
      <c r="AA48" s="277"/>
      <c r="AB48" s="277"/>
      <c r="AC48" s="277"/>
      <c r="AH48" t="s">
        <v>798</v>
      </c>
      <c r="AR48" t="s">
        <v>184</v>
      </c>
      <c r="AX48" t="s">
        <v>798</v>
      </c>
      <c r="AZ48" t="s">
        <v>763</v>
      </c>
      <c r="BF48" t="s">
        <v>762</v>
      </c>
    </row>
    <row r="49" spans="5:58" ht="20.100000000000001" customHeight="1">
      <c r="E49" s="115" t="s">
        <v>51</v>
      </c>
      <c r="F49" s="392"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66"/>
      <c r="Y49" s="567"/>
      <c r="Z49" s="277"/>
      <c r="AA49" s="277"/>
      <c r="AB49" s="277"/>
      <c r="AC49" s="277"/>
      <c r="AH49" t="s">
        <v>828</v>
      </c>
      <c r="AR49" t="s">
        <v>728</v>
      </c>
      <c r="AX49" t="s">
        <v>828</v>
      </c>
      <c r="AZ49" t="s">
        <v>765</v>
      </c>
      <c r="BF49" t="s">
        <v>764</v>
      </c>
    </row>
    <row r="50" spans="5:58" ht="20.100000000000001" customHeight="1">
      <c r="E50" s="534" t="s">
        <v>60</v>
      </c>
      <c r="F50" s="534"/>
      <c r="G50" s="534"/>
      <c r="H50" s="53" t="str">
        <f>+IFERROR(IF(COUNT(H43:H49),ROUND(SUM(H43:H49),0),""),"")</f>
        <v/>
      </c>
      <c r="I50" s="53" t="str">
        <f t="shared" ref="I50:K50" si="14">+IFERROR(IF(COUNT(I43:I49),ROUND(SUM(I43:I49),0),""),"")</f>
        <v/>
      </c>
      <c r="J50" s="53" t="str">
        <f t="shared" si="14"/>
        <v/>
      </c>
      <c r="K50" s="53" t="str">
        <f t="shared" si="14"/>
        <v/>
      </c>
      <c r="L50" s="189" t="str">
        <f t="shared" ref="L50" si="15">+IFERROR(IF(COUNT(I50:K50),ROUND(SUM(I50:K50),0),""),"")</f>
        <v/>
      </c>
      <c r="M50" s="172" t="str">
        <f>+IFERROR(IF(COUNT(L50),ROUND(L50/'Shareholding Pattern'!$L$78*100,2),""),"")</f>
        <v/>
      </c>
      <c r="N50" s="53" t="str">
        <f t="shared" ref="N50" si="16">+IFERROR(IF(COUNT(N43:N49),ROUND(SUM(N43:N49),0),""),"")</f>
        <v/>
      </c>
      <c r="O50" s="53" t="str">
        <f t="shared" ref="O50" si="17">+IFERROR(IF(COUNT(O43:O49),ROUND(SUM(O43:O49),0),""),"")</f>
        <v/>
      </c>
      <c r="P50" s="189" t="str">
        <f>+IFERROR(IF(COUNT(N50:O50),ROUND(SUM(N50:O50),0),""),"")</f>
        <v/>
      </c>
      <c r="Q50" s="180" t="str">
        <f>+IFERROR(IF(COUNT(P50),ROUND(P50/'Shareholding Pattern'!$P$79*100,2),""),"")</f>
        <v/>
      </c>
      <c r="R50" s="53" t="str">
        <f t="shared" ref="R50" si="18">+IFERROR(IF(COUNT(R43:R49),ROUND(SUM(R43:R49),0),""),"")</f>
        <v/>
      </c>
      <c r="S50" s="53" t="str">
        <f t="shared" ref="S50:V50" si="19">+IFERROR(IF(COUNT(S43:S49),ROUND(SUM(S43:S49),0),""),"")</f>
        <v/>
      </c>
      <c r="T50" s="189" t="str">
        <f>+IFERROR(IF(COUNT(R50:S50),ROUND(SUM(R50:S50),0),""),"")</f>
        <v/>
      </c>
      <c r="U50" s="159" t="str">
        <f>+IFERROR(IF(COUNT(L50,T50),ROUND(SUM(L50,T50)/SUM('Shareholding Pattern'!$L$78,'Shareholding Pattern'!$T$78)*100,2),""),"")</f>
        <v/>
      </c>
      <c r="V50" s="53" t="str">
        <f t="shared" si="19"/>
        <v/>
      </c>
      <c r="W50" s="184" t="str">
        <f>+IFERROR(IF(COUNT(V50),ROUND(SUM(V50)/SUM(L50)*100,2),""),0)</f>
        <v/>
      </c>
      <c r="X50" s="568"/>
      <c r="Y50" s="569"/>
      <c r="Z50" s="53" t="str">
        <f t="shared" ref="Z50" si="20">+IFERROR(IF(COUNT(Z43:Z49),ROUND(SUM(Z43:Z49),0),""),"")</f>
        <v/>
      </c>
      <c r="AA50" s="53" t="str">
        <f t="shared" ref="AA50" si="21">+IFERROR(IF(COUNT(AA43:AA49),ROUND(SUM(AA43:AA49),0),""),"")</f>
        <v/>
      </c>
      <c r="AB50" s="53" t="str">
        <f t="shared" ref="AB50" si="22">+IFERROR(IF(COUNT(AB43:AB49),ROUND(SUM(AB43:AB49),0),""),"")</f>
        <v/>
      </c>
      <c r="AC50" s="53" t="str">
        <f t="shared" ref="AC50" si="23">+IFERROR(IF(COUNT(AC43:AC49),ROUND(SUM(AC43:AC49),0),""),"")</f>
        <v/>
      </c>
      <c r="AR50" t="s">
        <v>838</v>
      </c>
    </row>
    <row r="51" spans="5:58" ht="20.100000000000001" customHeight="1">
      <c r="E51" s="107" t="s">
        <v>672</v>
      </c>
      <c r="F51" s="537" t="s">
        <v>659</v>
      </c>
      <c r="G51" s="538"/>
      <c r="H51" s="538"/>
      <c r="I51" s="538"/>
      <c r="J51" s="538"/>
      <c r="K51" s="538"/>
      <c r="L51" s="538"/>
      <c r="M51" s="538"/>
      <c r="N51" s="538"/>
      <c r="O51" s="538"/>
      <c r="P51" s="538"/>
      <c r="Q51" s="538"/>
      <c r="R51" s="538"/>
      <c r="S51" s="538"/>
      <c r="T51" s="538"/>
      <c r="U51" s="538"/>
      <c r="V51" s="538"/>
      <c r="W51" s="538"/>
      <c r="X51" s="538"/>
      <c r="Y51" s="538"/>
      <c r="Z51" s="538"/>
      <c r="AA51" s="538"/>
      <c r="AB51" s="538"/>
      <c r="AC51" s="539"/>
    </row>
    <row r="52" spans="5:58" ht="20.100000000000001" customHeight="1">
      <c r="E52" s="378" t="s">
        <v>26</v>
      </c>
      <c r="F52" s="407" t="s">
        <v>649</v>
      </c>
      <c r="G52" s="401"/>
      <c r="H52" s="400"/>
      <c r="I52" s="277"/>
      <c r="J52" s="277"/>
      <c r="K52" s="277"/>
      <c r="L52" s="217" t="str">
        <f>+IFERROR(IF(COUNT(I52:K52),ROUND(SUM(I52:K52),0),""),"")</f>
        <v/>
      </c>
      <c r="M52" s="408"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64"/>
      <c r="Y52" s="565"/>
      <c r="Z52" s="277"/>
      <c r="AA52" s="277"/>
      <c r="AB52" s="277"/>
      <c r="AC52" s="277"/>
      <c r="AH52" t="s">
        <v>194</v>
      </c>
      <c r="AR52" t="s">
        <v>729</v>
      </c>
      <c r="AX52" t="s">
        <v>194</v>
      </c>
      <c r="AZ52" t="s">
        <v>767</v>
      </c>
      <c r="BF52" t="s">
        <v>766</v>
      </c>
    </row>
    <row r="53" spans="5:58" ht="20.100000000000001" customHeight="1">
      <c r="E53" s="379" t="s">
        <v>28</v>
      </c>
      <c r="F53" s="393" t="s">
        <v>660</v>
      </c>
      <c r="G53" s="374"/>
      <c r="H53" s="277"/>
      <c r="I53" s="277"/>
      <c r="J53" s="277"/>
      <c r="K53" s="277"/>
      <c r="L53" s="217" t="str">
        <f t="shared" ref="L53:L54" si="26">+IFERROR(IF(COUNT(I53:K53),ROUND(SUM(I53:K53),0),""),"")</f>
        <v/>
      </c>
      <c r="M53" s="408"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66"/>
      <c r="Y53" s="567"/>
      <c r="Z53" s="277"/>
      <c r="AA53" s="277"/>
      <c r="AB53" s="277"/>
      <c r="AC53" s="277"/>
      <c r="AH53" t="s">
        <v>829</v>
      </c>
      <c r="AR53" t="s">
        <v>730</v>
      </c>
      <c r="AX53" t="s">
        <v>829</v>
      </c>
      <c r="AZ53" t="s">
        <v>769</v>
      </c>
      <c r="BF53" t="s">
        <v>768</v>
      </c>
    </row>
    <row r="54" spans="5:58" ht="30">
      <c r="E54" s="380" t="s">
        <v>30</v>
      </c>
      <c r="F54" s="394" t="s">
        <v>661</v>
      </c>
      <c r="H54" s="277"/>
      <c r="I54" s="277"/>
      <c r="J54" s="277"/>
      <c r="K54" s="277"/>
      <c r="L54" s="409" t="str">
        <f t="shared" si="26"/>
        <v/>
      </c>
      <c r="M54" s="410" t="str">
        <f>+IFERROR(IF(COUNT(L54),ROUND(L54/'Shareholding Pattern'!$L$78*100,2),""),"")</f>
        <v/>
      </c>
      <c r="N54" s="277"/>
      <c r="O54" s="277"/>
      <c r="P54" s="395" t="str">
        <f t="shared" si="27"/>
        <v/>
      </c>
      <c r="Q54" s="411" t="str">
        <f>+IFERROR(IF(COUNT(P54),ROUND(P54/'Shareholding Pattern'!$P$79*100,2),""),"")</f>
        <v/>
      </c>
      <c r="R54" s="277"/>
      <c r="S54" s="277"/>
      <c r="T54" s="395" t="str">
        <f t="shared" si="28"/>
        <v/>
      </c>
      <c r="U54" s="396" t="str">
        <f>+IFERROR(IF(COUNT(L54,T54),ROUND(SUM(L54,T54)/SUM('Shareholding Pattern'!$L$78,'Shareholding Pattern'!$T$78)*100,2),""),"")</f>
        <v/>
      </c>
      <c r="V54" s="277"/>
      <c r="W54" s="397" t="str">
        <f t="shared" si="29"/>
        <v/>
      </c>
      <c r="X54" s="566"/>
      <c r="Y54" s="567"/>
      <c r="Z54" s="277"/>
      <c r="AA54" s="277"/>
      <c r="AB54" s="277"/>
      <c r="AC54" s="277"/>
      <c r="AH54" t="s">
        <v>830</v>
      </c>
      <c r="AR54" t="s">
        <v>731</v>
      </c>
      <c r="AX54" t="s">
        <v>830</v>
      </c>
      <c r="AZ54" t="s">
        <v>771</v>
      </c>
      <c r="BF54" t="s">
        <v>770</v>
      </c>
    </row>
    <row r="55" spans="5:58" ht="20.100000000000001" customHeight="1">
      <c r="E55" s="534" t="s">
        <v>65</v>
      </c>
      <c r="F55" s="534"/>
      <c r="G55" s="534"/>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66"/>
      <c r="Y55" s="567"/>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00000000000001" customHeight="1">
      <c r="E56" s="113" t="s">
        <v>673</v>
      </c>
      <c r="F56" s="231" t="s">
        <v>61</v>
      </c>
      <c r="G56" s="160"/>
      <c r="H56" s="338"/>
      <c r="I56" s="338"/>
      <c r="J56" s="338"/>
      <c r="K56" s="160"/>
      <c r="L56" s="160"/>
      <c r="M56" s="161"/>
      <c r="N56" s="162"/>
      <c r="O56" s="162"/>
      <c r="P56" s="338"/>
      <c r="Q56" s="161"/>
      <c r="R56" s="338"/>
      <c r="S56" s="338"/>
      <c r="T56" s="338"/>
      <c r="U56" s="160"/>
      <c r="V56" s="162"/>
      <c r="W56" s="163"/>
      <c r="X56" s="566"/>
      <c r="Y56" s="567"/>
      <c r="Z56" s="402"/>
      <c r="AA56" s="145"/>
      <c r="AB56" s="145"/>
      <c r="AC56" s="343"/>
    </row>
    <row r="57" spans="5:58" ht="51.75" customHeight="1">
      <c r="E57" s="377" t="s">
        <v>26</v>
      </c>
      <c r="F57" s="375" t="s">
        <v>662</v>
      </c>
      <c r="H57" s="277"/>
      <c r="I57" s="277"/>
      <c r="J57" s="277"/>
      <c r="K57" s="277"/>
      <c r="L57" s="217" t="str">
        <f>+IFERROR(IF(COUNT(I57:K57),ROUND(SUM(I57:K57),0),""),"")</f>
        <v/>
      </c>
      <c r="M57" s="408" t="str">
        <f>+IFERROR(IF(COUNT(L57),ROUND(L57/'Shareholding Pattern'!$L$78*100,2),""),"")</f>
        <v/>
      </c>
      <c r="N57" s="277"/>
      <c r="O57" s="277"/>
      <c r="P57" s="217" t="str">
        <f t="shared" ref="P57:P69"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66"/>
      <c r="Y57" s="567"/>
      <c r="Z57" s="277"/>
      <c r="AA57" s="277"/>
      <c r="AB57" s="277"/>
      <c r="AC57" s="277"/>
      <c r="AH57" t="s">
        <v>831</v>
      </c>
      <c r="AR57" t="s">
        <v>732</v>
      </c>
      <c r="AX57" t="s">
        <v>831</v>
      </c>
      <c r="AZ57" t="s">
        <v>773</v>
      </c>
      <c r="BF57" t="s">
        <v>772</v>
      </c>
    </row>
    <row r="58" spans="5:58" ht="51.75" customHeight="1">
      <c r="E58" s="377" t="s">
        <v>28</v>
      </c>
      <c r="F58" s="375" t="s">
        <v>663</v>
      </c>
      <c r="H58" s="277"/>
      <c r="I58" s="277"/>
      <c r="J58" s="277"/>
      <c r="K58" s="277"/>
      <c r="L58" s="217" t="str">
        <f t="shared" ref="L58:L69" si="40">+IFERROR(IF(COUNT(I58:K58),ROUND(SUM(I58:K58),0),""),"")</f>
        <v/>
      </c>
      <c r="M58" s="408"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66"/>
      <c r="Y58" s="567"/>
      <c r="Z58" s="277"/>
      <c r="AA58" s="277"/>
      <c r="AB58" s="277"/>
      <c r="AC58" s="277"/>
      <c r="AH58" t="s">
        <v>832</v>
      </c>
      <c r="AR58" t="s">
        <v>733</v>
      </c>
      <c r="AX58" t="s">
        <v>832</v>
      </c>
      <c r="AZ58" t="s">
        <v>775</v>
      </c>
      <c r="BF58" t="s">
        <v>774</v>
      </c>
    </row>
    <row r="59" spans="5:58" ht="51.75" customHeight="1">
      <c r="E59" s="377" t="s">
        <v>30</v>
      </c>
      <c r="F59" s="375" t="s">
        <v>664</v>
      </c>
      <c r="H59" s="277"/>
      <c r="I59" s="277"/>
      <c r="J59" s="277"/>
      <c r="K59" s="277"/>
      <c r="L59" s="217" t="str">
        <f t="shared" si="40"/>
        <v/>
      </c>
      <c r="M59" s="408"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66"/>
      <c r="Y59" s="567"/>
      <c r="Z59" s="277"/>
      <c r="AA59" s="277"/>
      <c r="AB59" s="277"/>
      <c r="AC59" s="277"/>
      <c r="AH59" t="s">
        <v>664</v>
      </c>
      <c r="AR59" t="s">
        <v>734</v>
      </c>
      <c r="AX59" t="s">
        <v>664</v>
      </c>
      <c r="AZ59" t="s">
        <v>777</v>
      </c>
      <c r="BF59" t="s">
        <v>776</v>
      </c>
    </row>
    <row r="60" spans="5:58" ht="51.75" customHeight="1">
      <c r="E60" s="377" t="s">
        <v>32</v>
      </c>
      <c r="F60" s="375" t="s">
        <v>665</v>
      </c>
      <c r="H60" s="277"/>
      <c r="I60" s="277"/>
      <c r="J60" s="277"/>
      <c r="K60" s="277"/>
      <c r="L60" s="217" t="str">
        <f t="shared" si="40"/>
        <v/>
      </c>
      <c r="M60" s="408"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66"/>
      <c r="Y60" s="567"/>
      <c r="Z60" s="277"/>
      <c r="AA60" s="277"/>
      <c r="AB60" s="277"/>
      <c r="AC60" s="277"/>
      <c r="AH60" t="s">
        <v>833</v>
      </c>
      <c r="AR60" t="s">
        <v>735</v>
      </c>
      <c r="AX60" t="s">
        <v>833</v>
      </c>
      <c r="AZ60" t="s">
        <v>779</v>
      </c>
      <c r="BF60" t="s">
        <v>778</v>
      </c>
    </row>
    <row r="61" spans="5:58" ht="51.75" customHeight="1">
      <c r="E61" s="377" t="s">
        <v>42</v>
      </c>
      <c r="F61" s="375" t="s">
        <v>666</v>
      </c>
      <c r="H61" s="277"/>
      <c r="I61" s="277"/>
      <c r="J61" s="277"/>
      <c r="K61" s="277"/>
      <c r="L61" s="217" t="str">
        <f t="shared" si="40"/>
        <v/>
      </c>
      <c r="M61" s="408"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66"/>
      <c r="Y61" s="567"/>
      <c r="Z61" s="277"/>
      <c r="AA61" s="277"/>
      <c r="AB61" s="277"/>
      <c r="AC61" s="277"/>
      <c r="AH61" t="s">
        <v>834</v>
      </c>
      <c r="AR61" t="s">
        <v>736</v>
      </c>
      <c r="AX61" t="s">
        <v>834</v>
      </c>
      <c r="AZ61" t="s">
        <v>781</v>
      </c>
      <c r="BF61" t="s">
        <v>780</v>
      </c>
    </row>
    <row r="62" spans="5:58" ht="51.75" customHeight="1">
      <c r="E62" s="377" t="s">
        <v>50</v>
      </c>
      <c r="F62" s="398" t="s">
        <v>667</v>
      </c>
      <c r="H62" s="277"/>
      <c r="I62" s="277"/>
      <c r="J62" s="277"/>
      <c r="K62" s="277"/>
      <c r="L62" s="217" t="str">
        <f t="shared" si="40"/>
        <v/>
      </c>
      <c r="M62" s="408"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66"/>
      <c r="Y62" s="567"/>
      <c r="Z62" s="277"/>
      <c r="AA62" s="277"/>
      <c r="AB62" s="277"/>
      <c r="AC62" s="277"/>
      <c r="AH62" t="s">
        <v>835</v>
      </c>
      <c r="AR62" t="s">
        <v>737</v>
      </c>
      <c r="AX62" t="s">
        <v>835</v>
      </c>
      <c r="AZ62" t="s">
        <v>783</v>
      </c>
      <c r="BF62" t="s">
        <v>782</v>
      </c>
    </row>
    <row r="63" spans="5:58" ht="51.75" customHeight="1">
      <c r="E63" s="377" t="s">
        <v>51</v>
      </c>
      <c r="F63" s="375" t="s">
        <v>650</v>
      </c>
      <c r="H63" s="277">
        <v>6</v>
      </c>
      <c r="I63" s="277">
        <v>47800</v>
      </c>
      <c r="J63" s="277"/>
      <c r="K63" s="277"/>
      <c r="L63" s="217">
        <f t="shared" si="40"/>
        <v>47800</v>
      </c>
      <c r="M63" s="408">
        <f>+IFERROR(IF(COUNT(L63),ROUND(L63/'Shareholding Pattern'!$L$78*100,2),""),"")</f>
        <v>3.98</v>
      </c>
      <c r="N63" s="277">
        <v>47800</v>
      </c>
      <c r="O63" s="277"/>
      <c r="P63" s="217">
        <f t="shared" si="38"/>
        <v>47800</v>
      </c>
      <c r="Q63" s="176">
        <f>+IFERROR(IF(COUNT(P63),ROUND(P63/'Shareholding Pattern'!$P$79*100,2),""),"")</f>
        <v>3.98</v>
      </c>
      <c r="R63" s="277"/>
      <c r="S63" s="277"/>
      <c r="T63" s="217" t="str">
        <f t="shared" si="41"/>
        <v/>
      </c>
      <c r="U63" s="218">
        <f>+IFERROR(IF(COUNT(L63,T63),ROUND(SUM(L63,T63)/SUM('Shareholding Pattern'!$L$78,'Shareholding Pattern'!$T$78)*100,2),""),"")</f>
        <v>3.98</v>
      </c>
      <c r="V63" s="277"/>
      <c r="W63" s="182" t="str">
        <f t="shared" si="39"/>
        <v/>
      </c>
      <c r="X63" s="566"/>
      <c r="Y63" s="567"/>
      <c r="Z63" s="277">
        <v>47800</v>
      </c>
      <c r="AA63" s="277">
        <v>0</v>
      </c>
      <c r="AB63" s="277">
        <v>0</v>
      </c>
      <c r="AC63" s="277">
        <v>0</v>
      </c>
      <c r="AH63" t="s">
        <v>195</v>
      </c>
      <c r="AR63" t="s">
        <v>738</v>
      </c>
      <c r="AX63" t="s">
        <v>195</v>
      </c>
      <c r="AZ63" t="s">
        <v>785</v>
      </c>
      <c r="BF63" t="s">
        <v>784</v>
      </c>
    </row>
    <row r="64" spans="5:58" ht="43.5" customHeight="1">
      <c r="E64" s="377" t="s">
        <v>53</v>
      </c>
      <c r="F64" s="234" t="s">
        <v>651</v>
      </c>
      <c r="H64" s="277">
        <v>6</v>
      </c>
      <c r="I64" s="277">
        <v>252000</v>
      </c>
      <c r="J64" s="277"/>
      <c r="K64" s="277"/>
      <c r="L64" s="217">
        <f t="shared" si="40"/>
        <v>252000</v>
      </c>
      <c r="M64" s="408">
        <f>+IFERROR(IF(COUNT(L64),ROUND(L64/'Shareholding Pattern'!$L$78*100,2),""),"")</f>
        <v>21</v>
      </c>
      <c r="N64" s="277">
        <v>252000</v>
      </c>
      <c r="O64" s="277"/>
      <c r="P64" s="217">
        <f t="shared" si="38"/>
        <v>252000</v>
      </c>
      <c r="Q64" s="176">
        <f>+IFERROR(IF(COUNT(P64),ROUND(P64/'Shareholding Pattern'!$P$79*100,2),""),"")</f>
        <v>21</v>
      </c>
      <c r="R64" s="277"/>
      <c r="S64" s="277"/>
      <c r="T64" s="217" t="str">
        <f t="shared" si="41"/>
        <v/>
      </c>
      <c r="U64" s="218">
        <f>+IFERROR(IF(COUNT(L64,T64),ROUND(SUM(L64,T64)/SUM('Shareholding Pattern'!$L$78,'Shareholding Pattern'!$T$78)*100,2),""),"")</f>
        <v>21</v>
      </c>
      <c r="V64" s="277"/>
      <c r="W64" s="182" t="str">
        <f t="shared" si="39"/>
        <v/>
      </c>
      <c r="X64" s="566"/>
      <c r="Y64" s="567"/>
      <c r="Z64" s="277">
        <v>252000</v>
      </c>
      <c r="AA64" s="277">
        <v>0</v>
      </c>
      <c r="AB64" s="277">
        <v>0</v>
      </c>
      <c r="AC64" s="277">
        <v>0</v>
      </c>
      <c r="AH64" t="s">
        <v>196</v>
      </c>
      <c r="AR64" t="s">
        <v>739</v>
      </c>
      <c r="AX64" t="s">
        <v>196</v>
      </c>
      <c r="AZ64" t="s">
        <v>787</v>
      </c>
      <c r="BF64" t="s">
        <v>786</v>
      </c>
    </row>
    <row r="65" spans="5:58" ht="43.5" customHeight="1">
      <c r="E65" s="377" t="s">
        <v>55</v>
      </c>
      <c r="F65" s="234" t="s">
        <v>668</v>
      </c>
      <c r="H65" s="277"/>
      <c r="I65" s="277"/>
      <c r="J65" s="277"/>
      <c r="K65" s="277"/>
      <c r="L65" s="217" t="str">
        <f t="shared" si="40"/>
        <v/>
      </c>
      <c r="M65" s="408" t="str">
        <f>+IFERROR(IF(COUNT(L65),ROUND(L65/'Shareholding Pattern'!$L$78*100,2),""),"")</f>
        <v/>
      </c>
      <c r="N65" s="277"/>
      <c r="O65" s="277"/>
      <c r="P65" s="217" t="str">
        <f t="shared" si="38"/>
        <v/>
      </c>
      <c r="Q65" s="176" t="str">
        <f>+IFERROR(IF(COUNT(P65),ROUND(P65/'Shareholding Pattern'!$P$79*100,2),""),"")</f>
        <v/>
      </c>
      <c r="R65" s="277"/>
      <c r="S65" s="277"/>
      <c r="T65" s="217" t="str">
        <f t="shared" si="41"/>
        <v/>
      </c>
      <c r="U65" s="218" t="str">
        <f>+IFERROR(IF(COUNT(L65,T65),ROUND(SUM(L65,T65)/SUM('Shareholding Pattern'!$L$78,'Shareholding Pattern'!$T$78)*100,2),""),"")</f>
        <v/>
      </c>
      <c r="V65" s="277"/>
      <c r="W65" s="182" t="str">
        <f t="shared" si="39"/>
        <v/>
      </c>
      <c r="X65" s="566"/>
      <c r="Y65" s="567"/>
      <c r="Z65" s="277"/>
      <c r="AA65" s="277"/>
      <c r="AB65" s="277"/>
      <c r="AC65" s="277"/>
      <c r="AH65" t="s">
        <v>668</v>
      </c>
      <c r="AR65" t="s">
        <v>740</v>
      </c>
      <c r="AX65" t="s">
        <v>668</v>
      </c>
      <c r="AZ65" t="s">
        <v>789</v>
      </c>
      <c r="BF65" t="s">
        <v>788</v>
      </c>
    </row>
    <row r="66" spans="5:58" ht="43.5" customHeight="1">
      <c r="E66" s="377" t="s">
        <v>670</v>
      </c>
      <c r="F66" s="234" t="s">
        <v>464</v>
      </c>
      <c r="H66" s="277"/>
      <c r="I66" s="277"/>
      <c r="J66" s="277"/>
      <c r="K66" s="277"/>
      <c r="L66" s="217" t="str">
        <f t="shared" si="40"/>
        <v/>
      </c>
      <c r="M66" s="408"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66"/>
      <c r="Y66" s="567"/>
      <c r="Z66" s="277"/>
      <c r="AA66" s="277"/>
      <c r="AB66" s="277"/>
      <c r="AC66" s="277"/>
      <c r="AH66" t="s">
        <v>464</v>
      </c>
      <c r="AR66" t="s">
        <v>741</v>
      </c>
      <c r="AX66" t="s">
        <v>464</v>
      </c>
      <c r="AZ66" t="s">
        <v>791</v>
      </c>
      <c r="BF66" t="s">
        <v>790</v>
      </c>
    </row>
    <row r="67" spans="5:58" ht="43.5" customHeight="1">
      <c r="E67" s="377" t="s">
        <v>671</v>
      </c>
      <c r="F67" s="234" t="s">
        <v>669</v>
      </c>
      <c r="H67" s="277"/>
      <c r="I67" s="277"/>
      <c r="J67" s="277"/>
      <c r="K67" s="277"/>
      <c r="L67" s="217" t="str">
        <f t="shared" si="40"/>
        <v/>
      </c>
      <c r="M67" s="408"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66"/>
      <c r="Y67" s="567"/>
      <c r="Z67" s="277"/>
      <c r="AA67" s="277"/>
      <c r="AB67" s="277"/>
      <c r="AC67" s="277"/>
      <c r="AH67" t="s">
        <v>669</v>
      </c>
      <c r="AR67" t="s">
        <v>742</v>
      </c>
      <c r="AX67" t="s">
        <v>669</v>
      </c>
      <c r="AZ67" t="s">
        <v>793</v>
      </c>
      <c r="BF67" t="s">
        <v>792</v>
      </c>
    </row>
    <row r="68" spans="5:58" ht="39" customHeight="1">
      <c r="E68" s="377" t="s">
        <v>674</v>
      </c>
      <c r="F68" s="234" t="s">
        <v>440</v>
      </c>
      <c r="H68" s="277"/>
      <c r="I68" s="277"/>
      <c r="J68" s="277"/>
      <c r="K68" s="277"/>
      <c r="L68" s="217" t="str">
        <f t="shared" si="40"/>
        <v/>
      </c>
      <c r="M68" s="408" t="str">
        <f>+IFERROR(IF(COUNT(L68),ROUND(L68/'Shareholding Pattern'!$L$78*100,2),""),"")</f>
        <v/>
      </c>
      <c r="N68" s="277"/>
      <c r="O68" s="277"/>
      <c r="P68" s="217" t="str">
        <f t="shared" si="38"/>
        <v/>
      </c>
      <c r="Q68" s="176" t="str">
        <f>+IFERROR(IF(COUNT(P68),ROUND(P68/'Shareholding Pattern'!$P$79*100,2),""),"")</f>
        <v/>
      </c>
      <c r="R68" s="277"/>
      <c r="S68" s="277"/>
      <c r="T68" s="217" t="str">
        <f t="shared" si="41"/>
        <v/>
      </c>
      <c r="U68" s="218" t="str">
        <f>+IFERROR(IF(COUNT(L68,T68),ROUND(SUM(L68,T68)/SUM('Shareholding Pattern'!$L$78,'Shareholding Pattern'!$T$78)*100,2),""),"")</f>
        <v/>
      </c>
      <c r="V68" s="277"/>
      <c r="W68" s="182" t="str">
        <f t="shared" si="39"/>
        <v/>
      </c>
      <c r="X68" s="566"/>
      <c r="Y68" s="567"/>
      <c r="Z68" s="277"/>
      <c r="AA68" s="277"/>
      <c r="AB68" s="277"/>
      <c r="AC68" s="277"/>
      <c r="AH68" t="s">
        <v>440</v>
      </c>
      <c r="AR68" t="s">
        <v>743</v>
      </c>
      <c r="AX68" t="s">
        <v>440</v>
      </c>
      <c r="AZ68" t="s">
        <v>795</v>
      </c>
      <c r="BF68" t="s">
        <v>794</v>
      </c>
    </row>
    <row r="69" spans="5:58" ht="20.100000000000001" customHeight="1">
      <c r="E69" s="377" t="s">
        <v>675</v>
      </c>
      <c r="F69" s="235" t="s">
        <v>33</v>
      </c>
      <c r="H69" s="277">
        <v>1</v>
      </c>
      <c r="I69" s="277">
        <v>250</v>
      </c>
      <c r="J69" s="277"/>
      <c r="K69" s="277"/>
      <c r="L69" s="217">
        <f t="shared" si="40"/>
        <v>250</v>
      </c>
      <c r="M69" s="408">
        <f>+IFERROR(IF(COUNT(L69),ROUND(L69/'Shareholding Pattern'!$L$78*100,2),""),"")</f>
        <v>0.02</v>
      </c>
      <c r="N69" s="277">
        <v>250</v>
      </c>
      <c r="O69" s="277"/>
      <c r="P69" s="217">
        <f t="shared" si="38"/>
        <v>250</v>
      </c>
      <c r="Q69" s="176">
        <f>+IFERROR(IF(COUNT(P69),ROUND(P69/'Shareholding Pattern'!$P$79*100,2),""),"")</f>
        <v>0.02</v>
      </c>
      <c r="R69" s="277"/>
      <c r="S69" s="277"/>
      <c r="T69" s="217" t="str">
        <f t="shared" si="41"/>
        <v/>
      </c>
      <c r="U69" s="218">
        <f>+IFERROR(IF(COUNT(L69,T69),ROUND(SUM(L69,T69)/SUM('Shareholding Pattern'!$L$78,'Shareholding Pattern'!$T$78)*100,2),""),"")</f>
        <v>0.02</v>
      </c>
      <c r="V69" s="277"/>
      <c r="W69" s="182" t="str">
        <f t="shared" si="39"/>
        <v/>
      </c>
      <c r="X69" s="566"/>
      <c r="Y69" s="567"/>
      <c r="Z69" s="277">
        <v>0</v>
      </c>
      <c r="AA69" s="277">
        <v>0</v>
      </c>
      <c r="AB69" s="277">
        <v>0</v>
      </c>
      <c r="AC69" s="277">
        <v>0</v>
      </c>
      <c r="AH69" t="s">
        <v>800</v>
      </c>
      <c r="AR69" t="s">
        <v>185</v>
      </c>
      <c r="AX69" t="s">
        <v>800</v>
      </c>
      <c r="AZ69" t="s">
        <v>797</v>
      </c>
      <c r="BF69" t="s">
        <v>796</v>
      </c>
    </row>
    <row r="70" spans="5:58" ht="20.100000000000001" customHeight="1">
      <c r="E70" s="534" t="s">
        <v>676</v>
      </c>
      <c r="F70" s="534"/>
      <c r="G70" s="534"/>
      <c r="H70" s="190">
        <f>+IFERROR(IF(COUNT(H57:H69),ROUND(SUM(H57:H69),0),""),"")</f>
        <v>13</v>
      </c>
      <c r="I70" s="190">
        <f>+IFERROR(IF(COUNT(I57:I69),ROUND(SUM(I57:I69),0),""),"")</f>
        <v>300050</v>
      </c>
      <c r="J70" s="190" t="str">
        <f>+IFERROR(IF(COUNT(J57:J69),ROUND(SUM(J57:J69),0),""),"")</f>
        <v/>
      </c>
      <c r="K70" s="165" t="str">
        <f>+IFERROR(IF(COUNT(K57:K69),ROUND(SUM(K57:K69),0),""),"")</f>
        <v/>
      </c>
      <c r="L70" s="189">
        <f t="shared" ref="L70:L71" si="42">+IFERROR(IF(COUNT(I70:K70),ROUND(SUM(I70:K70),0),""),"")</f>
        <v>300050</v>
      </c>
      <c r="M70" s="173">
        <f>+IFERROR(IF(COUNT(L70),ROUND(L70/'Shareholding Pattern'!$L$78*100,2),""),"")</f>
        <v>25</v>
      </c>
      <c r="N70" s="166">
        <f>+IFERROR(IF(COUNT(N57:N69),ROUND(SUM(N57:N69),0),""),"")</f>
        <v>300050</v>
      </c>
      <c r="O70" s="166" t="str">
        <f>+IFERROR(IF(COUNT(O57:O69),ROUND(SUM(O57:O69),0),""),"")</f>
        <v/>
      </c>
      <c r="P70" s="189">
        <f t="shared" ref="P70" si="43">+IFERROR(IF(COUNT(N70:O70),ROUND(SUM(N70:O70),0),""),"")</f>
        <v>300050</v>
      </c>
      <c r="Q70" s="177">
        <f>+IFERROR(IF(COUNT(P70),ROUND(P70/'Shareholding Pattern'!$P$79*100,2),""),"")</f>
        <v>25</v>
      </c>
      <c r="R70" s="190" t="str">
        <f>+IFERROR(IF(COUNT(R57:R69),ROUND(SUM(R57:R69),0),""),"")</f>
        <v/>
      </c>
      <c r="S70" s="190" t="str">
        <f>+IFERROR(IF(COUNT(S57:S69),ROUND(SUM(S57:S69),0),""),"")</f>
        <v/>
      </c>
      <c r="T70" s="189" t="str">
        <f t="shared" ref="T70" si="44">+IFERROR(IF(COUNT(R70:S70),ROUND(SUM(R70:S70),0),""),"")</f>
        <v/>
      </c>
      <c r="U70" s="167">
        <f>+IFERROR(IF(COUNT(L70,T70),ROUND(SUM(L70,T70)/SUM('Shareholding Pattern'!$L$78,'Shareholding Pattern'!$T$78)*100,2),""),"")</f>
        <v>25</v>
      </c>
      <c r="V70" s="166" t="str">
        <f>+IFERROR(IF(COUNT(V57:V69),ROUND(SUM(V57:V69),0),""),"")</f>
        <v/>
      </c>
      <c r="W70" s="183" t="str">
        <f t="shared" si="39"/>
        <v/>
      </c>
      <c r="X70" s="566"/>
      <c r="Y70" s="567"/>
      <c r="Z70" s="190">
        <f>+IFERROR(IF(COUNT(Z57:Z69),ROUND(SUM(Z57:Z69),0),""),"")</f>
        <v>299800</v>
      </c>
      <c r="AA70" s="190">
        <f t="shared" ref="AA70:AC70" si="45">+IFERROR(IF(COUNT(AA57:AA69),ROUND(SUM(AA57:AA69),0),""),"")</f>
        <v>0</v>
      </c>
      <c r="AB70" s="190">
        <f t="shared" si="45"/>
        <v>0</v>
      </c>
      <c r="AC70" s="190">
        <f t="shared" si="45"/>
        <v>0</v>
      </c>
      <c r="AR70" t="s">
        <v>186</v>
      </c>
    </row>
    <row r="71" spans="5:58" ht="20.100000000000001" customHeight="1">
      <c r="E71" s="535" t="s">
        <v>677</v>
      </c>
      <c r="F71" s="535"/>
      <c r="G71" s="535"/>
      <c r="H71" s="190">
        <f>+IFERROR(IF(COUNT(H41,H50,H55,H70),ROUND(SUM(H41,H50,H55,H70),0),""),"")</f>
        <v>13</v>
      </c>
      <c r="I71" s="190">
        <f t="shared" ref="I71:K71" si="46">+IFERROR(IF(COUNT(I41,I50,I55,I70),ROUND(SUM(I41,I50,I55,I70),0),""),"")</f>
        <v>300050</v>
      </c>
      <c r="J71" s="190" t="str">
        <f t="shared" si="46"/>
        <v/>
      </c>
      <c r="K71" s="190" t="str">
        <f t="shared" si="46"/>
        <v/>
      </c>
      <c r="L71" s="189">
        <f t="shared" si="42"/>
        <v>300050</v>
      </c>
      <c r="M71" s="173">
        <f>+IFERROR(IF(COUNT(L71),ROUND(L71/'Shareholding Pattern'!$L$78*100,2),""),"")</f>
        <v>25</v>
      </c>
      <c r="N71" s="190">
        <f t="shared" ref="N71" si="47">+IFERROR(IF(COUNT(N41,N50,N55,N70),ROUND(SUM(N41,N50,N55,N70),0),""),"")</f>
        <v>300050</v>
      </c>
      <c r="O71" s="190" t="str">
        <f t="shared" ref="O71:P71" si="48">+IFERROR(IF(COUNT(O41,O50,O55,O70),ROUND(SUM(O41,O50,O55,O70),0),""),"")</f>
        <v/>
      </c>
      <c r="P71" s="190">
        <f t="shared" si="48"/>
        <v>300050</v>
      </c>
      <c r="Q71" s="177">
        <f>+IFERROR(IF(COUNT(P71),ROUND(P71/'Shareholding Pattern'!$P$79*100,2),""),"")</f>
        <v>25</v>
      </c>
      <c r="R71" s="190" t="str">
        <f t="shared" ref="R71" si="49">+IFERROR(IF(COUNT(R41,R50,R55,R70),ROUND(SUM(R41,R50,R55,R70),0),""),"")</f>
        <v/>
      </c>
      <c r="S71" s="190" t="str">
        <f t="shared" ref="S71" si="50">+IFERROR(IF(COUNT(S41,S50,S55,S70),ROUND(SUM(S41,S50,S55,S70),0),""),"")</f>
        <v/>
      </c>
      <c r="T71" s="341" t="str">
        <f t="shared" ref="T71" si="51">+IFERROR(IF(COUNT(R71:S71),ROUND(SUM(R71:S71),0),""),"")</f>
        <v/>
      </c>
      <c r="U71" s="167">
        <f>+IFERROR(IF(COUNT(L71,T71),ROUND(SUM(L71,T71)/SUM('Shareholding Pattern'!$L$78,'Shareholding Pattern'!$T$78)*100,2),""),"")</f>
        <v>25</v>
      </c>
      <c r="V71" s="190" t="str">
        <f t="shared" ref="V71" si="52">+IFERROR(IF(COUNT(V41,V50,V55,V70),ROUND(SUM(V41,V50,V55,V70),0),""),"")</f>
        <v/>
      </c>
      <c r="W71" s="183" t="str">
        <f t="shared" si="39"/>
        <v/>
      </c>
      <c r="X71" s="568"/>
      <c r="Y71" s="569"/>
      <c r="Z71" s="190">
        <f t="shared" ref="Z71" si="53">+IFERROR(IF(COUNT(Z41,Z50,Z55,Z70),ROUND(SUM(Z41,Z50,Z55,Z70),0),""),"")</f>
        <v>299800</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4"/>
      <c r="AA72" s="404"/>
      <c r="AB72" s="404"/>
      <c r="AC72" s="346"/>
    </row>
    <row r="73" spans="5:58" ht="42" customHeight="1">
      <c r="E73" s="130"/>
      <c r="F73" s="230" t="s">
        <v>371</v>
      </c>
      <c r="M73"/>
      <c r="N73"/>
      <c r="O73"/>
      <c r="Q73"/>
      <c r="U73"/>
      <c r="V73"/>
      <c r="W73"/>
      <c r="X73"/>
      <c r="Y73"/>
      <c r="Z73" s="405"/>
      <c r="AA73" s="405"/>
      <c r="AB73" s="405"/>
      <c r="AC73" s="347"/>
    </row>
    <row r="74" spans="5:58" ht="34.5" customHeight="1">
      <c r="E74" s="117" t="s">
        <v>57</v>
      </c>
      <c r="F74" s="540" t="s">
        <v>58</v>
      </c>
      <c r="G74" s="541"/>
      <c r="H74" s="541"/>
      <c r="I74" s="541"/>
      <c r="J74" s="541"/>
      <c r="K74" s="541"/>
      <c r="L74" s="541"/>
      <c r="M74" s="541"/>
      <c r="N74" s="541"/>
      <c r="O74" s="541"/>
      <c r="P74" s="541"/>
      <c r="Q74" s="541"/>
      <c r="R74" s="541"/>
      <c r="S74" s="541"/>
      <c r="T74" s="541"/>
      <c r="U74" s="541"/>
      <c r="V74" s="541"/>
      <c r="W74" s="541"/>
      <c r="X74" s="541"/>
      <c r="Y74" s="541"/>
      <c r="Z74" s="541"/>
      <c r="AA74" s="541"/>
      <c r="AB74" s="541"/>
      <c r="AC74" s="542"/>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73"/>
      <c r="Y75" s="574"/>
      <c r="Z75" s="277"/>
      <c r="AA75" s="545"/>
      <c r="AB75" s="546"/>
      <c r="AC75" s="547"/>
      <c r="AH75" t="s">
        <v>298</v>
      </c>
      <c r="AR75" t="s">
        <v>188</v>
      </c>
      <c r="AX75" t="s">
        <v>298</v>
      </c>
      <c r="AZ75" t="s">
        <v>333</v>
      </c>
      <c r="BF75" t="s">
        <v>322</v>
      </c>
    </row>
    <row r="76" spans="5:58" ht="46.5" customHeight="1">
      <c r="E76" s="118" t="s">
        <v>59</v>
      </c>
      <c r="F76" s="437"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75"/>
      <c r="Y76" s="576"/>
      <c r="Z76" s="277"/>
      <c r="AA76" s="545"/>
      <c r="AB76" s="546"/>
      <c r="AC76" s="547"/>
      <c r="AH76" t="s">
        <v>198</v>
      </c>
      <c r="AR76" t="s">
        <v>189</v>
      </c>
      <c r="AX76" t="s">
        <v>198</v>
      </c>
      <c r="AZ76" t="s">
        <v>836</v>
      </c>
      <c r="BF76" t="s">
        <v>837</v>
      </c>
    </row>
    <row r="77" spans="5:58" ht="31.5" customHeight="1">
      <c r="E77" s="536" t="s">
        <v>67</v>
      </c>
      <c r="F77" s="536"/>
      <c r="G77" s="536"/>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75"/>
      <c r="Y77" s="576"/>
      <c r="Z77" s="149" t="str">
        <f t="shared" si="58"/>
        <v/>
      </c>
      <c r="AA77" s="548"/>
      <c r="AB77" s="549"/>
      <c r="AC77" s="550"/>
      <c r="AR77" t="s">
        <v>190</v>
      </c>
    </row>
    <row r="78" spans="5:58" ht="26.25" customHeight="1">
      <c r="E78" s="559" t="s">
        <v>68</v>
      </c>
      <c r="F78" s="559"/>
      <c r="G78" s="559"/>
      <c r="H78" s="149">
        <f>+IFERROR(IF(COUNT(H26,H71,H76),ROUND(SUM(H26,H71,H76),0),""),"")</f>
        <v>16</v>
      </c>
      <c r="I78" s="149">
        <f>+IFERROR(IF(COUNT(I26,I71,I76),ROUND(SUM(I26,I71,I76),0),""),"")</f>
        <v>1200000</v>
      </c>
      <c r="J78" s="149" t="str">
        <f>+IFERROR(IF(COUNT(J26,J71,J76),ROUND(SUM(J26,J71,J76),0),""),"")</f>
        <v/>
      </c>
      <c r="K78" s="149" t="str">
        <f>+IFERROR(IF(COUNT(K26,K71,K76),ROUND(SUM(K26,K71,K76),0),""),"")</f>
        <v/>
      </c>
      <c r="L78" s="149">
        <f>+IFERROR(IF(COUNT(L26,L71,L76),ROUND(SUM(L26,L71,L76),0),""),"")</f>
        <v>1200000</v>
      </c>
      <c r="M78" s="175">
        <f>+IFERROR(IF(COUNT(L78),ROUND(L78/'Shareholding Pattern'!$L$78*100,2),""),0)</f>
        <v>100</v>
      </c>
      <c r="N78" s="153">
        <f>+IFERROR(IF(COUNT(N26,N71,N76),ROUND(SUM(N26,N71,N76),0),""),"")</f>
        <v>1200000</v>
      </c>
      <c r="O78" s="153" t="str">
        <f>+IFERROR(IF(COUNT(O26,O71,O76),ROUND(SUM(O26,O71,O76),0),""),"")</f>
        <v/>
      </c>
      <c r="P78" s="149">
        <f>+IFERROR(IF(COUNT(P26,P71,P76),ROUND(SUM(P26,P71,P76),0),""),"")</f>
        <v>1200000</v>
      </c>
      <c r="Q78" s="176">
        <f>+IFERROR(IF(COUNT(P78),ROUND(P78/'Shareholding Pattern'!$P$79*100,2),""),0)</f>
        <v>100</v>
      </c>
      <c r="R78" s="149" t="str">
        <f>+IFERROR(IF(COUNT(R26,R71,R76),ROUND(SUM(R26,R71,R76),0),""),"")</f>
        <v/>
      </c>
      <c r="S78" s="149" t="str">
        <f>+IFERROR(IF(COUNT(S26,S71,S76),ROUND(SUM(S26,S71,S76),0),""),"")</f>
        <v/>
      </c>
      <c r="T78" s="149" t="str">
        <f>+IFERROR(IF(COUNT(T26,T71,T76),ROUND(SUM(T26,T71,T76),0),""),"")</f>
        <v/>
      </c>
      <c r="U78" s="152">
        <f>+IFERROR(IF(COUNT(L78,T78),ROUND(SUM(L78,T78)/SUM('Shareholding Pattern'!$L$78,'Shareholding Pattern'!$T$78)*100,2),""),0)</f>
        <v>100</v>
      </c>
      <c r="V78" s="149" t="str">
        <f>+IFERROR(IF(COUNT(V26,V71,V76),ROUND(SUM(V26,V71,V76),0),""),"")</f>
        <v/>
      </c>
      <c r="W78" s="182" t="str">
        <f t="shared" si="57"/>
        <v/>
      </c>
      <c r="X78" s="577"/>
      <c r="Y78" s="578"/>
      <c r="Z78" s="149">
        <f>+IFERROR(IF(COUNT(Z26,Z71,Z76),ROUND(SUM(Z26,Z71,Z76),0),""),"")</f>
        <v>1199750</v>
      </c>
      <c r="AA78" s="149">
        <f t="shared" ref="AA78:AC78" si="59">+IFERROR(IF(COUNT(AA26,AA71,AA76),ROUND(SUM(AA26,AA71,AA76),0),""),"")</f>
        <v>0</v>
      </c>
      <c r="AB78" s="149">
        <f t="shared" si="59"/>
        <v>0</v>
      </c>
      <c r="AC78" s="149">
        <f t="shared" si="59"/>
        <v>0</v>
      </c>
    </row>
    <row r="79" spans="5:58" ht="22.5" customHeight="1">
      <c r="E79" s="559" t="s">
        <v>69</v>
      </c>
      <c r="F79" s="559"/>
      <c r="G79" s="559"/>
      <c r="H79" s="149">
        <f>+IFERROR(IF(COUNT(H26,H71,H77),ROUND(SUM(H26,H71,H77),0),""),"")</f>
        <v>16</v>
      </c>
      <c r="I79" s="149">
        <f>+IFERROR(IF(COUNT(I26,I71,I77),ROUND(SUM(I26,I71,I77),0),""),"")</f>
        <v>1200000</v>
      </c>
      <c r="J79" s="149" t="str">
        <f>+IFERROR(IF(COUNT(J26,J71,J77),ROUND(SUM(J26,J71,J77),0),""),"")</f>
        <v/>
      </c>
      <c r="K79" s="149" t="str">
        <f>+IFERROR(IF(COUNT(K26,K71,K77),ROUND(SUM(K26,K71,K77),0),""),"")</f>
        <v/>
      </c>
      <c r="L79" s="149">
        <f>+IFERROR(IF(COUNT(L26,L71,L77),ROUND(SUM(L26,L71,L77),0),""),"")</f>
        <v>1200000</v>
      </c>
      <c r="M79" s="273">
        <f>+IFERROR(IF(COUNT(L78),ROUND(L78/'Shareholding Pattern'!$L$78*100,2),""),"")</f>
        <v>100</v>
      </c>
      <c r="N79" s="153">
        <f>+IFERROR(IF(COUNT(N26,N71,N77),ROUND(SUM(N26,N71,N77),0),""),"")</f>
        <v>1200000</v>
      </c>
      <c r="O79" s="153" t="str">
        <f>+IFERROR(IF(COUNT(O26,O71,O77),ROUND(SUM(O26,O71,O77),0),""),"")</f>
        <v/>
      </c>
      <c r="P79" s="149">
        <f>+IFERROR(IF(COUNT(P26,P71,P77),ROUND(SUM(P26,P71,P77),0),""),"")</f>
        <v>1200000</v>
      </c>
      <c r="Q79" s="176">
        <f>+IFERROR(IF(COUNT(P79),ROUND(P79/'Shareholding Pattern'!$P$79*100,2),""),"")</f>
        <v>100</v>
      </c>
      <c r="R79" s="149" t="str">
        <f>+IFERROR(IF(COUNT(R26,R71,R77),ROUND(SUM(R26,R71,R77),0),""),"")</f>
        <v/>
      </c>
      <c r="S79" s="149" t="str">
        <f>+IFERROR(IF(COUNT(S26,S71,S77),ROUND(SUM(S26,S71,S77),0),""),"")</f>
        <v/>
      </c>
      <c r="T79" s="149" t="str">
        <f>+IFERROR(IF(COUNT(T26,T71,T77),ROUND(SUM(T26,T71,T77),0),""),"")</f>
        <v/>
      </c>
      <c r="U79" s="274">
        <f>+IFERROR(IF(COUNT(U26,U71,U77),ROUND(SUM(U26,U71,U77),0),""),"")</f>
        <v>100</v>
      </c>
      <c r="V79" s="149" t="str">
        <f>+IFERROR(IF(COUNT(V26,V71,V77),ROUND(SUM(V26,V71,V77),0),""),"")</f>
        <v/>
      </c>
      <c r="W79" s="182" t="str">
        <f t="shared" si="57"/>
        <v/>
      </c>
      <c r="X79" s="149" t="str">
        <f>+IFERROR(IF(COUNT(X26,X71,X77),ROUND(SUM(X26,X71,X77),0),""),"")</f>
        <v/>
      </c>
      <c r="Y79" s="182" t="str">
        <f>+IFERROR(IF(COUNT(X79),ROUND(SUM(X79)/SUM(L79)*100,2),""),0)</f>
        <v/>
      </c>
      <c r="Z79" s="149">
        <f>+IFERROR(IF(COUNT(Z26,Z71,Z77),ROUND(SUM(Z26,Z71,Z77),0),""),"")</f>
        <v>1199750</v>
      </c>
      <c r="AA79" s="149">
        <f t="shared" ref="AA79:AC79" si="60">+IFERROR(IF(COUNT(AA26,AA71,AA77),ROUND(SUM(AA26,AA71,AA77),0),""),"")</f>
        <v>0</v>
      </c>
      <c r="AB79" s="149">
        <f t="shared" si="60"/>
        <v>0</v>
      </c>
      <c r="AC79" s="149">
        <f t="shared" si="60"/>
        <v>0</v>
      </c>
      <c r="AR79" t="s">
        <v>191</v>
      </c>
    </row>
    <row r="80" spans="5:58" ht="35.1" customHeight="1">
      <c r="E80" s="531" t="s">
        <v>165</v>
      </c>
      <c r="F80" s="532"/>
      <c r="G80" s="532"/>
      <c r="H80" s="532"/>
      <c r="I80" s="532"/>
      <c r="J80" s="532"/>
      <c r="K80" s="532"/>
      <c r="L80" s="532"/>
      <c r="M80" s="533"/>
      <c r="N80" s="529"/>
      <c r="O80" s="530"/>
      <c r="P80" s="342"/>
      <c r="Q80" s="245"/>
      <c r="R80" s="340"/>
      <c r="S80" s="340"/>
      <c r="T80" s="340"/>
      <c r="U80" s="245"/>
      <c r="V80" s="245"/>
      <c r="W80" s="245"/>
      <c r="X80" s="543"/>
      <c r="Y80" s="543"/>
      <c r="Z80" s="543"/>
      <c r="AA80" s="543"/>
      <c r="AB80" s="543"/>
      <c r="AC80" s="544"/>
    </row>
    <row r="81" spans="5:29" ht="35.1" customHeight="1">
      <c r="E81" s="531" t="s">
        <v>529</v>
      </c>
      <c r="F81" s="532"/>
      <c r="G81" s="532"/>
      <c r="H81" s="532"/>
      <c r="I81" s="532"/>
      <c r="J81" s="532"/>
      <c r="K81" s="532"/>
      <c r="L81" s="532"/>
      <c r="M81" s="533"/>
      <c r="N81" s="563"/>
      <c r="O81" s="530"/>
      <c r="P81" s="342"/>
      <c r="Q81" s="245"/>
      <c r="R81" s="340"/>
      <c r="S81" s="340"/>
      <c r="T81" s="340"/>
      <c r="U81" s="245"/>
      <c r="V81" s="245"/>
      <c r="W81" s="245"/>
      <c r="X81" s="543"/>
      <c r="Y81" s="543"/>
      <c r="Z81" s="543"/>
      <c r="AA81" s="543"/>
      <c r="AB81" s="543"/>
      <c r="AC81" s="544"/>
    </row>
    <row r="82" spans="5:29" ht="35.1" customHeight="1">
      <c r="E82" s="531" t="s">
        <v>530</v>
      </c>
      <c r="F82" s="532"/>
      <c r="G82" s="532"/>
      <c r="H82" s="532"/>
      <c r="I82" s="532"/>
      <c r="J82" s="532"/>
      <c r="K82" s="532"/>
      <c r="L82" s="532"/>
      <c r="M82" s="533"/>
      <c r="N82" s="563"/>
      <c r="O82" s="530"/>
      <c r="P82" s="342"/>
      <c r="Q82" s="245"/>
      <c r="R82" s="340"/>
      <c r="S82" s="340"/>
      <c r="T82" s="340"/>
      <c r="U82" s="245"/>
      <c r="V82" s="245"/>
      <c r="W82" s="245"/>
      <c r="X82" s="543"/>
      <c r="Y82" s="543"/>
      <c r="Z82" s="543"/>
      <c r="AA82" s="543"/>
      <c r="AB82" s="543"/>
      <c r="AC82" s="544"/>
    </row>
    <row r="83" spans="5:29" ht="35.1" customHeight="1">
      <c r="E83" s="531" t="s">
        <v>531</v>
      </c>
      <c r="F83" s="532"/>
      <c r="G83" s="532"/>
      <c r="H83" s="532"/>
      <c r="I83" s="532"/>
      <c r="J83" s="532"/>
      <c r="K83" s="532"/>
      <c r="L83" s="532"/>
      <c r="M83" s="533"/>
      <c r="N83" s="529"/>
      <c r="O83" s="530"/>
      <c r="P83" s="342"/>
      <c r="Q83" s="245"/>
      <c r="R83" s="340"/>
      <c r="S83" s="340"/>
      <c r="T83" s="340"/>
      <c r="U83" s="245"/>
      <c r="V83" s="245"/>
      <c r="W83" s="245"/>
      <c r="X83" s="543"/>
      <c r="Y83" s="543"/>
      <c r="Z83" s="543"/>
      <c r="AA83" s="543"/>
      <c r="AB83" s="543"/>
      <c r="AC83" s="544"/>
    </row>
  </sheetData>
  <sheetProtection algorithmName="SHA-512" hashValue="uMJ+TYm6aSaxYQ19wU4dsrJ5zJAlsu/IKHWWkkfwxG4DxPrX6Lc1Y2z0EqA3WxWfISOS6xOnn7RBbTwTSrzySA==" saltValue="8t6DuMNRP/PpPCtAvx/dXA==" spinCount="100000" sheet="1" objects="1" scenarios="1"/>
  <mergeCells count="58">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 ref="X30:Y41"/>
    <mergeCell ref="Z9:Z11"/>
    <mergeCell ref="X81:Z81"/>
    <mergeCell ref="S9:S11"/>
    <mergeCell ref="X75:Y78"/>
    <mergeCell ref="V9:W10"/>
    <mergeCell ref="X9:Y10"/>
    <mergeCell ref="U9:U11"/>
    <mergeCell ref="T9:T11"/>
    <mergeCell ref="X80:Z80"/>
    <mergeCell ref="X43:Y50"/>
    <mergeCell ref="X52:Y71"/>
    <mergeCell ref="X82:Z82"/>
    <mergeCell ref="X83:Z83"/>
    <mergeCell ref="E81:M81"/>
    <mergeCell ref="E82:M82"/>
    <mergeCell ref="E83:M83"/>
    <mergeCell ref="N81:O81"/>
    <mergeCell ref="N82:O82"/>
    <mergeCell ref="N83:O83"/>
    <mergeCell ref="F9:G11"/>
    <mergeCell ref="E78:G78"/>
    <mergeCell ref="J9:J11"/>
    <mergeCell ref="E70:G70"/>
    <mergeCell ref="E79:G79"/>
    <mergeCell ref="E9:E11"/>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9"/>
  <sheetViews>
    <sheetView showGridLines="0" topLeftCell="D7" zoomScale="85" zoomScaleNormal="85" workbookViewId="0">
      <selection activeCell="F19" sqref="F19"/>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7109375" customWidth="1"/>
    <col min="29" max="16383" width="4.85546875" hidden="1"/>
  </cols>
  <sheetData>
    <row r="1" spans="5:45" hidden="1">
      <c r="I1">
        <v>3</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596" t="s">
        <v>119</v>
      </c>
      <c r="F9" s="596" t="s">
        <v>118</v>
      </c>
      <c r="G9" s="599" t="s">
        <v>1</v>
      </c>
      <c r="H9" s="599" t="s">
        <v>3</v>
      </c>
      <c r="I9" s="599" t="s">
        <v>4</v>
      </c>
      <c r="J9" s="599" t="s">
        <v>5</v>
      </c>
      <c r="K9" s="599" t="s">
        <v>6</v>
      </c>
      <c r="L9" s="599" t="s">
        <v>7</v>
      </c>
      <c r="M9" s="600" t="s">
        <v>8</v>
      </c>
      <c r="N9" s="601"/>
      <c r="O9" s="601"/>
      <c r="P9" s="602"/>
      <c r="Q9" s="599" t="s">
        <v>9</v>
      </c>
      <c r="R9" s="599" t="s">
        <v>447</v>
      </c>
      <c r="S9" s="599" t="s">
        <v>116</v>
      </c>
      <c r="T9" s="596" t="s">
        <v>125</v>
      </c>
      <c r="U9" s="553" t="s">
        <v>12</v>
      </c>
      <c r="V9" s="554"/>
      <c r="W9" s="553" t="s">
        <v>13</v>
      </c>
      <c r="X9" s="554"/>
      <c r="Y9" s="599" t="s">
        <v>14</v>
      </c>
      <c r="Z9" s="511" t="s">
        <v>441</v>
      </c>
      <c r="AA9" s="599" t="s">
        <v>459</v>
      </c>
    </row>
    <row r="10" spans="5:45" ht="31.5" customHeight="1">
      <c r="E10" s="597"/>
      <c r="F10" s="561"/>
      <c r="G10" s="597"/>
      <c r="H10" s="597"/>
      <c r="I10" s="597"/>
      <c r="J10" s="597"/>
      <c r="K10" s="597"/>
      <c r="L10" s="597"/>
      <c r="M10" s="508" t="s">
        <v>117</v>
      </c>
      <c r="N10" s="526"/>
      <c r="O10" s="527"/>
      <c r="P10" s="599" t="s">
        <v>16</v>
      </c>
      <c r="Q10" s="597"/>
      <c r="R10" s="597"/>
      <c r="S10" s="597"/>
      <c r="T10" s="597"/>
      <c r="U10" s="557"/>
      <c r="V10" s="558"/>
      <c r="W10" s="557"/>
      <c r="X10" s="558"/>
      <c r="Y10" s="597"/>
      <c r="Z10" s="551"/>
      <c r="AA10" s="597"/>
    </row>
    <row r="11" spans="5:45" ht="78.75" customHeight="1">
      <c r="E11" s="598"/>
      <c r="F11" s="562"/>
      <c r="G11" s="598"/>
      <c r="H11" s="598"/>
      <c r="I11" s="598"/>
      <c r="J11" s="598"/>
      <c r="K11" s="598"/>
      <c r="L11" s="598"/>
      <c r="M11" s="33" t="s">
        <v>123</v>
      </c>
      <c r="N11" s="33" t="s">
        <v>18</v>
      </c>
      <c r="O11" s="32" t="s">
        <v>19</v>
      </c>
      <c r="P11" s="598"/>
      <c r="Q11" s="598"/>
      <c r="R11" s="598"/>
      <c r="S11" s="598"/>
      <c r="T11" s="598"/>
      <c r="U11" s="32" t="s">
        <v>20</v>
      </c>
      <c r="V11" s="32" t="s">
        <v>21</v>
      </c>
      <c r="W11" s="32" t="s">
        <v>20</v>
      </c>
      <c r="X11" s="32" t="s">
        <v>21</v>
      </c>
      <c r="Y11" s="598"/>
      <c r="Z11" s="551"/>
      <c r="AA11" s="598"/>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f>IF(COUNT(H18:$Y$15003)=0,"",SUM(AC1:AC65535))</f>
        <v>3</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1">
        <v>1</v>
      </c>
      <c r="F15" s="635" t="s">
        <v>863</v>
      </c>
      <c r="G15" s="636" t="s">
        <v>864</v>
      </c>
      <c r="H15" s="47">
        <v>179950</v>
      </c>
      <c r="I15" s="47"/>
      <c r="J15" s="47"/>
      <c r="K15" s="634">
        <f>+IFERROR(IF(COUNT(H15:J15),ROUND(SUM(H15:J15),0),""),"")</f>
        <v>179950</v>
      </c>
      <c r="L15" s="51">
        <f>+IFERROR(IF(COUNT(K15),ROUND(K15/'Shareholding Pattern'!$L$78*100,2),""),0)</f>
        <v>15</v>
      </c>
      <c r="M15" s="203">
        <f>IF(H15="","",H15)</f>
        <v>179950</v>
      </c>
      <c r="N15" s="203"/>
      <c r="O15" s="266">
        <f>+IFERROR(IF(COUNT(M15:N15),ROUND(SUM(M15,N15),2),""),"")</f>
        <v>179950</v>
      </c>
      <c r="P15" s="51">
        <f>+IFERROR(IF(COUNT(O15),ROUND(O15/('Shareholding Pattern'!$P$79)*100,2),""),0)</f>
        <v>15</v>
      </c>
      <c r="Q15" s="47"/>
      <c r="R15" s="47"/>
      <c r="S15" s="634" t="str">
        <f>+IFERROR(IF(COUNT(Q15:R15),ROUND(SUM(Q15:R15),0),""),"")</f>
        <v/>
      </c>
      <c r="T15" s="17">
        <f>+IFERROR(IF(COUNT(K15,S15),ROUND(SUM(S15,K15)/SUM('Shareholding Pattern'!$L$78,'Shareholding Pattern'!$T$78)*100,2),""),0)</f>
        <v>15</v>
      </c>
      <c r="U15" s="47"/>
      <c r="V15" s="17" t="str">
        <f>+IFERROR(IF(COUNT(U15),ROUND(SUM(U15)/SUM(K15)*100,2),""),0)</f>
        <v/>
      </c>
      <c r="W15" s="47"/>
      <c r="X15" s="17" t="str">
        <f>+IFERROR(IF(COUNT(W15),ROUND(SUM(W15)/SUM(K15)*100,2),""),0)</f>
        <v/>
      </c>
      <c r="Y15" s="47">
        <v>179950</v>
      </c>
      <c r="Z15" s="265"/>
      <c r="AA15" s="315" t="s">
        <v>461</v>
      </c>
      <c r="AB15" s="11"/>
      <c r="AC15" s="11">
        <f>IF(SUM(H15:Y15)&gt;0,1,0)</f>
        <v>1</v>
      </c>
    </row>
    <row r="16" spans="5:45" ht="24.75" customHeight="1">
      <c r="E16" s="191">
        <v>2</v>
      </c>
      <c r="F16" s="635" t="s">
        <v>865</v>
      </c>
      <c r="G16" s="636" t="s">
        <v>866</v>
      </c>
      <c r="H16" s="47">
        <v>180000</v>
      </c>
      <c r="I16" s="47"/>
      <c r="J16" s="47"/>
      <c r="K16" s="634">
        <f>+IFERROR(IF(COUNT(H16:J16),ROUND(SUM(H16:J16),0),""),"")</f>
        <v>180000</v>
      </c>
      <c r="L16" s="51">
        <f>+IFERROR(IF(COUNT(K16),ROUND(K16/'Shareholding Pattern'!$L$78*100,2),""),0)</f>
        <v>15</v>
      </c>
      <c r="M16" s="203">
        <f>IF(H16="","",H16)</f>
        <v>180000</v>
      </c>
      <c r="N16" s="203"/>
      <c r="O16" s="266">
        <f>+IFERROR(IF(COUNT(M16:N16),ROUND(SUM(M16,N16),2),""),"")</f>
        <v>180000</v>
      </c>
      <c r="P16" s="51">
        <f>+IFERROR(IF(COUNT(O16),ROUND(O16/('Shareholding Pattern'!$P$79)*100,2),""),0)</f>
        <v>15</v>
      </c>
      <c r="Q16" s="47"/>
      <c r="R16" s="47"/>
      <c r="S16" s="634" t="str">
        <f>+IFERROR(IF(COUNT(Q16:R16),ROUND(SUM(Q16:R16),0),""),"")</f>
        <v/>
      </c>
      <c r="T16" s="17">
        <f>+IFERROR(IF(COUNT(K16,S16),ROUND(SUM(S16,K16)/SUM('Shareholding Pattern'!$L$78,'Shareholding Pattern'!$T$78)*100,2),""),0)</f>
        <v>15</v>
      </c>
      <c r="U16" s="47"/>
      <c r="V16" s="17" t="str">
        <f>+IFERROR(IF(COUNT(U16),ROUND(SUM(U16)/SUM(K16)*100,2),""),0)</f>
        <v/>
      </c>
      <c r="W16" s="47"/>
      <c r="X16" s="17" t="str">
        <f>+IFERROR(IF(COUNT(W16),ROUND(SUM(W16)/SUM(K16)*100,2),""),0)</f>
        <v/>
      </c>
      <c r="Y16" s="47">
        <v>180000</v>
      </c>
      <c r="Z16" s="265"/>
      <c r="AA16" s="315" t="s">
        <v>461</v>
      </c>
      <c r="AB16" s="11"/>
      <c r="AC16" s="11">
        <f>IF(SUM(H16:Y16)&gt;0,1,0)</f>
        <v>1</v>
      </c>
    </row>
    <row r="17" spans="5:29" ht="24.75" customHeight="1">
      <c r="E17" s="191">
        <v>3</v>
      </c>
      <c r="F17" s="635" t="s">
        <v>867</v>
      </c>
      <c r="G17" s="636" t="s">
        <v>868</v>
      </c>
      <c r="H17" s="47">
        <v>540000</v>
      </c>
      <c r="I17" s="47"/>
      <c r="J17" s="47"/>
      <c r="K17" s="634">
        <f>+IFERROR(IF(COUNT(H17:J17),ROUND(SUM(H17:J17),0),""),"")</f>
        <v>540000</v>
      </c>
      <c r="L17" s="51">
        <f>+IFERROR(IF(COUNT(K17),ROUND(K17/'Shareholding Pattern'!$L$78*100,2),""),0)</f>
        <v>45</v>
      </c>
      <c r="M17" s="203">
        <f>IF(H17="","",H17)</f>
        <v>540000</v>
      </c>
      <c r="N17" s="203"/>
      <c r="O17" s="266">
        <f>+IFERROR(IF(COUNT(M17:N17),ROUND(SUM(M17,N17),2),""),"")</f>
        <v>540000</v>
      </c>
      <c r="P17" s="51">
        <f>+IFERROR(IF(COUNT(O17),ROUND(O17/('Shareholding Pattern'!$P$79)*100,2),""),0)</f>
        <v>45</v>
      </c>
      <c r="Q17" s="47"/>
      <c r="R17" s="47"/>
      <c r="S17" s="634" t="str">
        <f>+IFERROR(IF(COUNT(Q17:R17),ROUND(SUM(Q17:R17),0),""),"")</f>
        <v/>
      </c>
      <c r="T17" s="17">
        <f>+IFERROR(IF(COUNT(K17,S17),ROUND(SUM(S17,K17)/SUM('Shareholding Pattern'!$L$78,'Shareholding Pattern'!$T$78)*100,2),""),0)</f>
        <v>45</v>
      </c>
      <c r="U17" s="47"/>
      <c r="V17" s="17" t="str">
        <f>+IFERROR(IF(COUNT(U17),ROUND(SUM(U17)/SUM(K17)*100,2),""),0)</f>
        <v/>
      </c>
      <c r="W17" s="47"/>
      <c r="X17" s="17" t="str">
        <f>+IFERROR(IF(COUNT(W17),ROUND(SUM(W17)/SUM(K17)*100,2),""),0)</f>
        <v/>
      </c>
      <c r="Y17" s="47">
        <v>540000</v>
      </c>
      <c r="Z17" s="265"/>
      <c r="AA17" s="315" t="s">
        <v>461</v>
      </c>
      <c r="AB17" s="11"/>
      <c r="AC17" s="11">
        <f>IF(SUM(H17:Y17)&gt;0,1,0)</f>
        <v>1</v>
      </c>
    </row>
    <row r="18" spans="5:29" ht="16.5" hidden="1" customHeight="1">
      <c r="E18" s="192"/>
      <c r="F18" s="196"/>
      <c r="G18" s="196"/>
      <c r="H18" s="196"/>
      <c r="I18" s="196"/>
      <c r="J18" s="196"/>
      <c r="K18" s="196"/>
      <c r="L18" s="196"/>
      <c r="M18" s="196"/>
      <c r="N18" s="196"/>
      <c r="O18" s="196"/>
      <c r="P18" s="196"/>
      <c r="Q18" s="196"/>
      <c r="R18" s="196"/>
      <c r="S18" s="196"/>
      <c r="T18" s="196"/>
      <c r="U18" s="196"/>
      <c r="V18" s="196"/>
      <c r="W18" s="196"/>
      <c r="X18" s="196"/>
      <c r="Y18" s="197"/>
    </row>
    <row r="19" spans="5:29" ht="20.100000000000001" customHeight="1">
      <c r="E19" s="126"/>
      <c r="F19" s="62" t="s">
        <v>392</v>
      </c>
      <c r="G19" s="62" t="s">
        <v>19</v>
      </c>
      <c r="H19" s="53">
        <f>+IFERROR(IF(COUNT(H14:H18),ROUND(SUM(H14:H18),0),""),"")</f>
        <v>899950</v>
      </c>
      <c r="I19" s="53" t="str">
        <f>+IFERROR(IF(COUNT(I14:I18),ROUND(SUM(I14:I18),0),""),"")</f>
        <v/>
      </c>
      <c r="J19" s="53" t="str">
        <f>+IFERROR(IF(COUNT(J14:J18),ROUND(SUM(J14:J18),0),""),"")</f>
        <v/>
      </c>
      <c r="K19" s="53">
        <f>+IFERROR(IF(COUNT(K14:K18),ROUND(SUM(K14:K18),0),""),"")</f>
        <v>899950</v>
      </c>
      <c r="L19" s="17">
        <f>+IFERROR(IF(COUNT(K19),ROUND(K19/'Shareholding Pattern'!$L$78*100,2),""),0)</f>
        <v>75</v>
      </c>
      <c r="M19" s="35">
        <f>+IFERROR(IF(COUNT(M14:M18),ROUND(SUM(M14:M18),0),""),"")</f>
        <v>899950</v>
      </c>
      <c r="N19" s="35" t="str">
        <f>+IFERROR(IF(COUNT(N14:N18),ROUND(SUM(N14:N18),0),""),"")</f>
        <v/>
      </c>
      <c r="O19" s="35">
        <f>+IFERROR(IF(COUNT(O14:O18),ROUND(SUM(O14:O18),0),""),"")</f>
        <v>899950</v>
      </c>
      <c r="P19" s="17">
        <f>+IFERROR(IF(COUNT(O19),ROUND(O19/('Shareholding Pattern'!$P$79)*100,2),""),0)</f>
        <v>75</v>
      </c>
      <c r="Q19" s="53" t="str">
        <f>+IFERROR(IF(COUNT(Q14:Q18),ROUND(SUM(Q14:Q18),0),""),"")</f>
        <v/>
      </c>
      <c r="R19" s="53" t="str">
        <f>+IFERROR(IF(COUNT(R14:R18),ROUND(SUM(R14:R18),0),""),"")</f>
        <v/>
      </c>
      <c r="S19" s="53" t="str">
        <f>+IFERROR(IF(COUNT(S14:S18),ROUND(SUM(S14:S18),0),""),"")</f>
        <v/>
      </c>
      <c r="T19" s="17">
        <f>+IFERROR(IF(COUNT(K19,S19),ROUND(SUM(S19,K19)/SUM('Shareholding Pattern'!$L$78,'Shareholding Pattern'!$T$78)*100,2),""),0)</f>
        <v>75</v>
      </c>
      <c r="U19" s="53" t="str">
        <f>+IFERROR(IF(COUNT(U14:U18),ROUND(SUM(U14:U18),0),""),"")</f>
        <v/>
      </c>
      <c r="V19" s="17" t="str">
        <f>+IFERROR(IF(COUNT(U19),ROUND(SUM(U19)/SUM(K19)*100,2),""),0)</f>
        <v/>
      </c>
      <c r="W19" s="53" t="str">
        <f>+IFERROR(IF(COUNT(W14:W18),ROUND(SUM(W14:W18),0),""),"")</f>
        <v/>
      </c>
      <c r="X19" s="17" t="str">
        <f>+IFERROR(IF(COUNT(W19),ROUND(SUM(W19)/SUM(K19)*100,2),""),0)</f>
        <v/>
      </c>
      <c r="Y19" s="53">
        <f>+IFERROR(IF(COUNT(Y14:Y18),ROUND(SUM(Y14:Y18),0),""),"")</f>
        <v>899950</v>
      </c>
    </row>
  </sheetData>
  <sheetProtection algorithmName="SHA-512" hashValue="aOZtjsu8CqjcKKK6duKYp23i80Cqud1luWxS5b0Ib6Ho4oZK896cfhlTFsfoFiyl3hXy7dsjy1aRa+It8SVcoA==" saltValue="MGzBD/fJ0BAw7hElnBrPiQ=="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17">
      <formula1>K13</formula1>
    </dataValidation>
    <dataValidation type="whole" operator="lessThanOrEqual" allowBlank="1" showInputMessage="1" showErrorMessage="1" sqref="U13 U15:U17">
      <formula1>H13</formula1>
    </dataValidation>
    <dataValidation type="whole" operator="lessThanOrEqual" allowBlank="1" showInputMessage="1" showErrorMessage="1" sqref="W13 W15:W17">
      <formula1>H13</formula1>
    </dataValidation>
    <dataValidation type="whole" operator="greaterThanOrEqual" allowBlank="1" showInputMessage="1" showErrorMessage="1" sqref="Q13:R13 H13:J13 M13:N13 M15:N17 Q15:R17 H15:J17">
      <formula1>0</formula1>
    </dataValidation>
    <dataValidation type="textLength" operator="equal" allowBlank="1" showInputMessage="1" showErrorMessage="1" prompt="[A-Z][A-Z][A-Z][A-Z][A-Z][0-9][0-9][0-9][0-9][A-Z]_x000a__x000a_In absence of PAN write : ZZZZZ9999Z" sqref="G13 G15:G17">
      <formula1>10</formula1>
    </dataValidation>
    <dataValidation type="list" allowBlank="1" showInputMessage="1" showErrorMessage="1" sqref="AA13 AA15:AA17">
      <formula1>$AR$2:$AS$2</formula1>
    </dataValidation>
  </dataValidations>
  <hyperlinks>
    <hyperlink ref="G19" location="'Shareholding Pattern'!F14" display="Total"/>
    <hyperlink ref="F19"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mc:AlternateContent xmlns:mc="http://schemas.openxmlformats.org/markup-compatibility/2006">
          <mc:Choice Requires="x14">
            <control shapeId="6147" r:id="rId6" name="Button 3">
              <controlPr defaultSize="0" print="0" autoFill="0" autoPict="0" macro="[0]!opentextblock">
                <anchor moveWithCells="1" sizeWithCells="1">
                  <from>
                    <xdr:col>25</xdr:col>
                    <xdr:colOff>66675</xdr:colOff>
                    <xdr:row>16</xdr:row>
                    <xdr:rowOff>66675</xdr:rowOff>
                  </from>
                  <to>
                    <xdr:col>25</xdr:col>
                    <xdr:colOff>1314450</xdr:colOff>
                    <xdr:row>16</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4"/>
  <sheetViews>
    <sheetView showGridLines="0" topLeftCell="D7" workbookViewId="0">
      <selection activeCell="H12" sqref="H12"/>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08"/>
      <c r="G7" s="608"/>
      <c r="H7" s="608"/>
      <c r="I7" s="363"/>
      <c r="AA7" s="359" t="s">
        <v>605</v>
      </c>
    </row>
    <row r="8" spans="1:27">
      <c r="F8" s="609"/>
      <c r="G8" s="609"/>
      <c r="H8" s="609"/>
      <c r="I8" s="365"/>
      <c r="AA8" s="359" t="s">
        <v>606</v>
      </c>
    </row>
    <row r="9" spans="1:27" ht="60" customHeight="1">
      <c r="A9" s="7"/>
      <c r="E9" s="596" t="s">
        <v>114</v>
      </c>
      <c r="F9" s="508" t="s">
        <v>588</v>
      </c>
      <c r="G9" s="605"/>
      <c r="H9" s="605"/>
      <c r="I9" s="605"/>
      <c r="J9" s="605"/>
      <c r="K9" s="509"/>
      <c r="L9" s="508" t="s">
        <v>593</v>
      </c>
      <c r="M9" s="605"/>
      <c r="N9" s="605"/>
      <c r="O9" s="605"/>
      <c r="P9" s="509"/>
      <c r="Q9" s="607" t="s">
        <v>594</v>
      </c>
      <c r="R9" s="607"/>
      <c r="S9" s="607"/>
      <c r="T9" s="607"/>
      <c r="U9" s="607"/>
      <c r="V9" s="511" t="s">
        <v>626</v>
      </c>
      <c r="AA9" s="359" t="s">
        <v>607</v>
      </c>
    </row>
    <row r="10" spans="1:27" ht="14.25" customHeight="1">
      <c r="A10" s="7"/>
      <c r="E10" s="597"/>
      <c r="F10" s="511" t="s">
        <v>589</v>
      </c>
      <c r="G10" s="511" t="s">
        <v>590</v>
      </c>
      <c r="H10" s="606" t="s">
        <v>591</v>
      </c>
      <c r="I10" s="362"/>
      <c r="J10" s="511" t="s">
        <v>592</v>
      </c>
      <c r="K10" s="603" t="s">
        <v>612</v>
      </c>
      <c r="L10" s="511" t="s">
        <v>589</v>
      </c>
      <c r="M10" s="511" t="s">
        <v>590</v>
      </c>
      <c r="N10" s="606" t="s">
        <v>591</v>
      </c>
      <c r="O10" s="511" t="s">
        <v>592</v>
      </c>
      <c r="P10" s="603" t="s">
        <v>612</v>
      </c>
      <c r="Q10" s="511" t="s">
        <v>595</v>
      </c>
      <c r="R10" s="511"/>
      <c r="S10" s="511"/>
      <c r="T10" s="511"/>
      <c r="U10" s="511"/>
      <c r="V10" s="511"/>
      <c r="AA10" s="359" t="s">
        <v>608</v>
      </c>
    </row>
    <row r="11" spans="1:27" ht="47.25" customHeight="1">
      <c r="A11" s="7"/>
      <c r="E11" s="598"/>
      <c r="F11" s="511"/>
      <c r="G11" s="511"/>
      <c r="H11" s="606"/>
      <c r="I11" s="362"/>
      <c r="J11" s="511"/>
      <c r="K11" s="604"/>
      <c r="L11" s="511"/>
      <c r="M11" s="511"/>
      <c r="N11" s="606"/>
      <c r="O11" s="511"/>
      <c r="P11" s="604"/>
      <c r="Q11" s="354" t="s">
        <v>596</v>
      </c>
      <c r="R11" s="354" t="s">
        <v>597</v>
      </c>
      <c r="S11" s="367" t="s">
        <v>628</v>
      </c>
      <c r="T11" s="354" t="s">
        <v>598</v>
      </c>
      <c r="U11" s="354" t="s">
        <v>629</v>
      </c>
      <c r="V11" s="511"/>
      <c r="AA11" s="359" t="s">
        <v>609</v>
      </c>
    </row>
    <row r="12" spans="1:27">
      <c r="E12" s="357"/>
      <c r="F12" s="611" t="s">
        <v>610</v>
      </c>
      <c r="G12" s="611"/>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10"/>
      <c r="G14" s="610"/>
      <c r="H14" s="610"/>
      <c r="I14" s="364"/>
      <c r="J14" s="55"/>
      <c r="K14" s="55"/>
      <c r="L14" s="55"/>
      <c r="M14" s="55"/>
      <c r="N14" s="55"/>
      <c r="O14" s="55"/>
      <c r="P14" s="55"/>
      <c r="Q14" s="55"/>
      <c r="R14" s="55"/>
      <c r="S14" s="55"/>
      <c r="T14" s="55"/>
      <c r="U14" s="55"/>
      <c r="V14" s="194"/>
    </row>
  </sheetData>
  <sheetProtection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formula1>$L$1:$M$1</formula1>
    </dataValidation>
    <dataValidation type="decimal" allowBlank="1" showInputMessage="1" showErrorMessage="1" prompt="Enter the value without percentage (%) symbol (.e.g. to enter 10.00%, enter it as 10.00)" sqref="Q13:S13">
      <formula1>0</formula1>
      <formula2>100</formula2>
    </dataValidation>
    <dataValidation type="list" allowBlank="1" showInputMessage="1" showErrorMessage="1" sqref="J13 O13">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42578125" customWidth="1"/>
    <col min="29" max="16383" width="1.8554687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6" t="s">
        <v>124</v>
      </c>
      <c r="T9" s="551" t="s">
        <v>89</v>
      </c>
      <c r="U9" s="551" t="s">
        <v>12</v>
      </c>
      <c r="V9" s="551"/>
      <c r="W9" s="551" t="s">
        <v>13</v>
      </c>
      <c r="X9" s="551"/>
      <c r="Y9" s="551" t="s">
        <v>14</v>
      </c>
      <c r="Z9" s="511" t="s">
        <v>441</v>
      </c>
      <c r="AA9" s="599" t="s">
        <v>459</v>
      </c>
    </row>
    <row r="10" spans="5:45"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51"/>
      <c r="Z10" s="551"/>
      <c r="AA10" s="597"/>
    </row>
    <row r="11" spans="5:45" ht="78.75" customHeight="1">
      <c r="E11" s="598"/>
      <c r="F11" s="551"/>
      <c r="G11" s="551"/>
      <c r="H11" s="551"/>
      <c r="I11" s="551"/>
      <c r="J11" s="551"/>
      <c r="K11" s="551"/>
      <c r="L11" s="551"/>
      <c r="M11" s="32" t="s">
        <v>17</v>
      </c>
      <c r="N11" s="32" t="s">
        <v>18</v>
      </c>
      <c r="O11" s="32" t="s">
        <v>19</v>
      </c>
      <c r="P11" s="551"/>
      <c r="Q11" s="551"/>
      <c r="R11" s="598"/>
      <c r="S11" s="598"/>
      <c r="T11" s="551"/>
      <c r="U11" s="32" t="s">
        <v>20</v>
      </c>
      <c r="V11" s="41" t="s">
        <v>21</v>
      </c>
      <c r="W11" s="32" t="s">
        <v>20</v>
      </c>
      <c r="X11" s="32" t="s">
        <v>21</v>
      </c>
      <c r="Y11" s="551"/>
      <c r="Z11" s="551"/>
      <c r="AA11" s="598"/>
    </row>
    <row r="12" spans="5:45" s="281" customFormat="1" ht="19.5" customHeight="1">
      <c r="E12" s="9" t="s">
        <v>72</v>
      </c>
      <c r="F12" s="612" t="s">
        <v>29</v>
      </c>
      <c r="G12" s="613"/>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4.9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00000000000001"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gZ4ZOieiucoeKtFia2Ay+pMxXukyrDfo9Rn5T+mSKcdYqXlNMl3+mGKz38t5uAD4kgavxIzVNi6B8LbMyGYToA==" saltValue="93j/MRHY7DRQdFMVxH85Cw==" spinCount="100000"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140625" customWidth="1"/>
    <col min="29" max="16383" width="1.85546875" hidden="1"/>
    <col min="16384" max="16384" width="5.1406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13</v>
      </c>
      <c r="X9" s="551"/>
      <c r="Y9" s="551" t="s">
        <v>14</v>
      </c>
      <c r="Z9" s="511" t="s">
        <v>441</v>
      </c>
      <c r="AA9" s="599" t="s">
        <v>459</v>
      </c>
      <c r="AR9" t="s">
        <v>337</v>
      </c>
    </row>
    <row r="10" spans="5:45"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51"/>
      <c r="Z10" s="551"/>
      <c r="AA10" s="597"/>
      <c r="AR10" t="s">
        <v>338</v>
      </c>
    </row>
    <row r="11" spans="5:45"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40" t="s">
        <v>20</v>
      </c>
      <c r="X11" s="40" t="s">
        <v>21</v>
      </c>
      <c r="Y11" s="551"/>
      <c r="Z11" s="551"/>
      <c r="AA11" s="598"/>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ofsfT5/mdlfs8EaMz3B4gFtc/ELnJt9UIcS1iXWAK4LBtm7CTlvMHGvRT2WBwEPFpPdac80xtxiX1+UQBkwnZQ==" saltValue="tdAWe6X9AeR1isORi0VlhA==" spinCount="100000"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sheetPr>
  <dimension ref="A1:XFC16"/>
  <sheetViews>
    <sheetView showGridLines="0" topLeftCell="A7" zoomScale="85" zoomScaleNormal="85" workbookViewId="0">
      <selection activeCell="E16" sqref="E16"/>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6" width="20.7109375" hidden="1" customWidth="1"/>
    <col min="27" max="28" width="20.7109375" customWidth="1"/>
    <col min="29" max="29" width="20.7109375" style="272" customWidth="1"/>
    <col min="30" max="30" width="3" style="272" customWidth="1"/>
    <col min="31" max="16383" width="1" hidden="1"/>
    <col min="16384" max="16384" width="2.28515625" hidden="1" customWidth="1"/>
  </cols>
  <sheetData>
    <row r="1" spans="4:53" hidden="1">
      <c r="I1">
        <v>0</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599" t="s">
        <v>119</v>
      </c>
      <c r="E9" s="551" t="s">
        <v>34</v>
      </c>
      <c r="F9" s="551"/>
      <c r="G9" s="599" t="s">
        <v>118</v>
      </c>
      <c r="H9" s="551" t="s">
        <v>1</v>
      </c>
      <c r="I9" s="511" t="s">
        <v>368</v>
      </c>
      <c r="J9" s="551" t="s">
        <v>3</v>
      </c>
      <c r="K9" s="551" t="s">
        <v>4</v>
      </c>
      <c r="L9" s="551" t="s">
        <v>5</v>
      </c>
      <c r="M9" s="551" t="s">
        <v>6</v>
      </c>
      <c r="N9" s="551" t="s">
        <v>7</v>
      </c>
      <c r="O9" s="551" t="s">
        <v>8</v>
      </c>
      <c r="P9" s="551"/>
      <c r="Q9" s="551"/>
      <c r="R9" s="551"/>
      <c r="S9" s="551" t="s">
        <v>9</v>
      </c>
      <c r="T9" s="599" t="s">
        <v>447</v>
      </c>
      <c r="U9" s="599" t="s">
        <v>116</v>
      </c>
      <c r="V9" s="551" t="s">
        <v>89</v>
      </c>
      <c r="W9" s="551" t="s">
        <v>12</v>
      </c>
      <c r="X9" s="551"/>
      <c r="Y9" s="551" t="s">
        <v>13</v>
      </c>
      <c r="Z9" s="551"/>
      <c r="AA9" s="551" t="s">
        <v>14</v>
      </c>
      <c r="AB9" s="511" t="s">
        <v>441</v>
      </c>
      <c r="AC9" s="599" t="s">
        <v>459</v>
      </c>
      <c r="AD9"/>
      <c r="AR9" s="7"/>
      <c r="AV9" t="s">
        <v>34</v>
      </c>
    </row>
    <row r="10" spans="4:53" ht="31.5" customHeight="1">
      <c r="D10" s="597"/>
      <c r="E10" s="551"/>
      <c r="F10" s="551"/>
      <c r="G10" s="597"/>
      <c r="H10" s="551"/>
      <c r="I10" s="551"/>
      <c r="J10" s="551"/>
      <c r="K10" s="551"/>
      <c r="L10" s="551"/>
      <c r="M10" s="551"/>
      <c r="N10" s="551"/>
      <c r="O10" s="551" t="s">
        <v>15</v>
      </c>
      <c r="P10" s="551"/>
      <c r="Q10" s="551"/>
      <c r="R10" s="551" t="s">
        <v>16</v>
      </c>
      <c r="S10" s="551"/>
      <c r="T10" s="597"/>
      <c r="U10" s="597"/>
      <c r="V10" s="551"/>
      <c r="W10" s="551"/>
      <c r="X10" s="551"/>
      <c r="Y10" s="551"/>
      <c r="Z10" s="551"/>
      <c r="AA10" s="551"/>
      <c r="AB10" s="551"/>
      <c r="AC10" s="597"/>
      <c r="AD10"/>
      <c r="AR10" s="7"/>
      <c r="AV10" t="s">
        <v>379</v>
      </c>
    </row>
    <row r="11" spans="4:53" ht="78.75" customHeight="1">
      <c r="D11" s="598"/>
      <c r="E11" s="551"/>
      <c r="F11" s="551"/>
      <c r="G11" s="598"/>
      <c r="H11" s="551"/>
      <c r="I11" s="551"/>
      <c r="J11" s="551"/>
      <c r="K11" s="551"/>
      <c r="L11" s="551"/>
      <c r="M11" s="551"/>
      <c r="N11" s="551"/>
      <c r="O11" s="40" t="s">
        <v>17</v>
      </c>
      <c r="P11" s="40" t="s">
        <v>18</v>
      </c>
      <c r="Q11" s="40" t="s">
        <v>19</v>
      </c>
      <c r="R11" s="551"/>
      <c r="S11" s="551"/>
      <c r="T11" s="598"/>
      <c r="U11" s="598"/>
      <c r="V11" s="551"/>
      <c r="W11" s="40" t="s">
        <v>20</v>
      </c>
      <c r="X11" s="40" t="s">
        <v>21</v>
      </c>
      <c r="Y11" s="40" t="s">
        <v>20</v>
      </c>
      <c r="Z11" s="40" t="s">
        <v>21</v>
      </c>
      <c r="AA11" s="551"/>
      <c r="AB11" s="551"/>
      <c r="AC11" s="598"/>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t="str">
        <f>IF(COUNT(H15:$AA$14999)=0,"",SUM(AC1:AC65533))</f>
        <v/>
      </c>
      <c r="AF13" s="352">
        <f>IF(SUM(I13:AA13)&gt;0,1,0)</f>
        <v>0</v>
      </c>
      <c r="AG13" s="352" t="str">
        <f>IF(COUNT(H15:$AA$14993)=0,"",SUM(AF1:AF65527))</f>
        <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18.75" hidden="1" customHeight="1">
      <c r="D15" s="45"/>
      <c r="Z15" s="209"/>
    </row>
    <row r="16" spans="4:53" ht="20.100000000000001" customHeight="1">
      <c r="D16" s="59"/>
      <c r="E16" s="210" t="s">
        <v>392</v>
      </c>
      <c r="F16" s="36"/>
      <c r="G16" s="60"/>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+IFERROR(IF(COUNT(W16),ROUND(SUM(W16)/SUM(M16)*100,2),""),0)</f>
        <v/>
      </c>
      <c r="Y16" s="64" t="str">
        <f>+IFERROR(IF(COUNT(Y14:Y15),ROUND(SUM(Y14:Y15),0),""),"")</f>
        <v/>
      </c>
      <c r="Z16" s="221" t="str">
        <f>+IFERROR(IF(COUNT(Y16),ROUND(SUM(Y16)/SUM(M16)*100,2),""),0)</f>
        <v/>
      </c>
      <c r="AA16" s="64" t="str">
        <f>+IFERROR(IF(COUNT(AA14:AA15),ROUND(SUM(AA14:AA15),0),""),"")</f>
        <v/>
      </c>
    </row>
  </sheetData>
  <sheetProtection algorithmName="SHA-512" hashValue="DVijkX976I7LMWdPQxq0Yh46CrfIcEMVoe2/9+s+lB88smmDf53G6ZUA7Kxqj/0mGBNKfRNvTojSG4HS9bTfNw==" saltValue="glbrYKPhJvUBvHR7FTNmbQ==" spinCount="100000"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textLength" operator="equal" allowBlank="1" showInputMessage="1" showErrorMessage="1" prompt="[A-Z][A-Z][A-Z][A-Z][A-Z][0-9][0-9][0-9][0-9][A-Z]_x000a__x000a_In absence of PAN write : ZZZZZ9999Z" sqref="H13">
      <formula1>10</formula1>
    </dataValidation>
    <dataValidation type="whole" operator="greaterThanOrEqual" allowBlank="1" showInputMessage="1" showErrorMessage="1" sqref="S13:T13 I13:L13 O13:P13">
      <formula1>0</formula1>
    </dataValidation>
    <dataValidation type="list" allowBlank="1" showInputMessage="1" showErrorMessage="1" sqref="E13">
      <formula1>$AR$1:$AR$6</formula1>
    </dataValidation>
    <dataValidation type="list" allowBlank="1" showInputMessage="1" showErrorMessage="1" sqref="F13">
      <formula1>$AV$9:$AV$10</formula1>
    </dataValidation>
    <dataValidation type="list" allowBlank="1" showInputMessage="1" showErrorMessage="1" sqref="AC13">
      <formula1>$AZ$2:$BA$2</formula1>
    </dataValidation>
  </dataValidations>
  <hyperlinks>
    <hyperlink ref="H16" location="'Shareholding Pattern'!F17" display="Total"/>
    <hyperlink ref="E16" location="'Shareholding Pattern'!F17" display="Total"/>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3.42578125" customWidth="1"/>
    <col min="29" max="16383" width="1.8554687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13</v>
      </c>
      <c r="X9" s="551"/>
      <c r="Y9" s="551" t="s">
        <v>14</v>
      </c>
      <c r="Z9" s="511" t="s">
        <v>441</v>
      </c>
      <c r="AA9" s="599" t="s">
        <v>459</v>
      </c>
    </row>
    <row r="10" spans="2:45"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51"/>
      <c r="Z10" s="551"/>
      <c r="AA10" s="597"/>
    </row>
    <row r="11" spans="2:45"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40" t="s">
        <v>20</v>
      </c>
      <c r="X11" s="40" t="s">
        <v>21</v>
      </c>
      <c r="Y11" s="551"/>
      <c r="Z11" s="551"/>
      <c r="AA11" s="598"/>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uO+ckgb/KMWev4cECC4YTKPspI2uK5AY6n35UjPS4VKBd2bVABuws5SBg/fOarr2pQEdHPU51yCM0FpfNPerMA==" saltValue="yHf0FzA/bfvZUPAmvK8QLg=="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2.570312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13</v>
      </c>
      <c r="X9" s="551"/>
      <c r="Y9" s="551" t="s">
        <v>14</v>
      </c>
      <c r="Z9" s="511" t="s">
        <v>441</v>
      </c>
      <c r="AA9" s="599" t="s">
        <v>459</v>
      </c>
    </row>
    <row r="10" spans="5:45"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51"/>
      <c r="Z10" s="551"/>
      <c r="AA10" s="597"/>
    </row>
    <row r="11" spans="5:45"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40" t="s">
        <v>20</v>
      </c>
      <c r="X11" s="40" t="s">
        <v>21</v>
      </c>
      <c r="Y11" s="551"/>
      <c r="Z11" s="551"/>
      <c r="AA11" s="598"/>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algorithmName="SHA-512" hashValue="y7jVA38mOtPHamAaCzHY5QzKY6BUPXCujoeFowtAHF3UA/AGEcxdhsdElDwwNXdP0cH3GWjJpXnIpIYOKibNxg==" saltValue="U4cnxPZqbq2+bsQVBrCyTg=="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3.28515625" customWidth="1"/>
    <col min="29" max="16384" width="1.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13</v>
      </c>
      <c r="X9" s="551"/>
      <c r="Y9" s="551" t="s">
        <v>14</v>
      </c>
      <c r="Z9" s="511" t="s">
        <v>441</v>
      </c>
      <c r="AA9" s="599" t="s">
        <v>459</v>
      </c>
      <c r="AR9" t="s">
        <v>338</v>
      </c>
    </row>
    <row r="10" spans="5:45"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51"/>
      <c r="Z10" s="551"/>
      <c r="AA10" s="597"/>
      <c r="AR10" t="s">
        <v>339</v>
      </c>
    </row>
    <row r="11" spans="5:45"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40" t="s">
        <v>20</v>
      </c>
      <c r="X11" s="40" t="s">
        <v>21</v>
      </c>
      <c r="Y11" s="551"/>
      <c r="Z11" s="551"/>
      <c r="AA11" s="598"/>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00000000000001"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dJ+I8sDMuTxpXUvBiQqXqbTw5w1BLXtJq7Nc+3k3QkPba2DHEdu7K6gBaNNTGOEZ7YA8p3feTObXZcBwMfXeIQ==" saltValue="LRBs+20SgK8YZgzrdOpufw==" spinCount="100000" sheet="1" objects="1" scenarios="1"/>
  <mergeCells count="20">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7109375" customWidth="1"/>
    <col min="29" max="16384" width="2.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13</v>
      </c>
      <c r="X9" s="551"/>
      <c r="Y9" s="551" t="s">
        <v>14</v>
      </c>
      <c r="Z9" s="511" t="s">
        <v>441</v>
      </c>
      <c r="AA9" s="599" t="s">
        <v>459</v>
      </c>
      <c r="AR9" t="s">
        <v>338</v>
      </c>
    </row>
    <row r="10" spans="5:45"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51"/>
      <c r="Z10" s="551"/>
      <c r="AA10" s="597"/>
      <c r="AR10" t="s">
        <v>339</v>
      </c>
    </row>
    <row r="11" spans="5:45"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40" t="s">
        <v>20</v>
      </c>
      <c r="X11" s="40" t="s">
        <v>21</v>
      </c>
      <c r="Y11" s="551"/>
      <c r="Z11" s="551"/>
      <c r="AA11" s="598"/>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148G63Ug4jjrWsT2/4eM7Ycb7Rpx5siA+yiV1IiaJvJ6Kw4tLJTmsF92vAQDzGFyQaQuWiDlyjamOUNk3LusEg==" saltValue="LlTghp0fS1Hdz9LJPIC+dA=="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6" width="20.7109375" hidden="1" customWidth="1"/>
    <col min="27" max="28" width="20.7109375" customWidth="1"/>
    <col min="29" max="29" width="20.7109375" style="272" customWidth="1"/>
    <col min="30" max="30" width="3.85546875" style="272" customWidth="1"/>
    <col min="31" max="16383" width="4" hidden="1"/>
    <col min="16384" max="16384" width="3.710937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99" t="s">
        <v>119</v>
      </c>
      <c r="E9" s="551" t="s">
        <v>34</v>
      </c>
      <c r="F9" s="551"/>
      <c r="G9" s="599" t="s">
        <v>118</v>
      </c>
      <c r="H9" s="551" t="s">
        <v>1</v>
      </c>
      <c r="I9" s="511" t="s">
        <v>368</v>
      </c>
      <c r="J9" s="551" t="s">
        <v>3</v>
      </c>
      <c r="K9" s="551" t="s">
        <v>4</v>
      </c>
      <c r="L9" s="551" t="s">
        <v>5</v>
      </c>
      <c r="M9" s="551" t="s">
        <v>6</v>
      </c>
      <c r="N9" s="551" t="s">
        <v>7</v>
      </c>
      <c r="O9" s="551" t="s">
        <v>8</v>
      </c>
      <c r="P9" s="551"/>
      <c r="Q9" s="551"/>
      <c r="R9" s="551"/>
      <c r="S9" s="551" t="s">
        <v>9</v>
      </c>
      <c r="T9" s="599" t="s">
        <v>447</v>
      </c>
      <c r="U9" s="599" t="s">
        <v>116</v>
      </c>
      <c r="V9" s="551" t="s">
        <v>89</v>
      </c>
      <c r="W9" s="551" t="s">
        <v>12</v>
      </c>
      <c r="X9" s="551"/>
      <c r="Y9" s="551" t="s">
        <v>13</v>
      </c>
      <c r="Z9" s="551"/>
      <c r="AA9" s="551" t="s">
        <v>14</v>
      </c>
      <c r="AB9" s="511" t="s">
        <v>441</v>
      </c>
      <c r="AC9" s="599" t="s">
        <v>459</v>
      </c>
      <c r="AD9"/>
      <c r="AS9" s="63"/>
      <c r="AV9" t="s">
        <v>34</v>
      </c>
    </row>
    <row r="10" spans="4:53" ht="31.5" customHeight="1">
      <c r="D10" s="597"/>
      <c r="E10" s="551"/>
      <c r="F10" s="551"/>
      <c r="G10" s="597"/>
      <c r="H10" s="551"/>
      <c r="I10" s="551"/>
      <c r="J10" s="551"/>
      <c r="K10" s="551"/>
      <c r="L10" s="551"/>
      <c r="M10" s="551"/>
      <c r="N10" s="551"/>
      <c r="O10" s="551" t="s">
        <v>15</v>
      </c>
      <c r="P10" s="551"/>
      <c r="Q10" s="551"/>
      <c r="R10" s="551" t="s">
        <v>16</v>
      </c>
      <c r="S10" s="551"/>
      <c r="T10" s="597"/>
      <c r="U10" s="597"/>
      <c r="V10" s="551"/>
      <c r="W10" s="551"/>
      <c r="X10" s="551"/>
      <c r="Y10" s="551"/>
      <c r="Z10" s="551"/>
      <c r="AA10" s="551"/>
      <c r="AB10" s="551"/>
      <c r="AC10" s="597"/>
      <c r="AD10"/>
      <c r="AS10" s="63"/>
      <c r="AV10" t="s">
        <v>379</v>
      </c>
    </row>
    <row r="11" spans="4:53" ht="78.75" customHeight="1">
      <c r="D11" s="598"/>
      <c r="E11" s="551"/>
      <c r="F11" s="551"/>
      <c r="G11" s="598"/>
      <c r="H11" s="551"/>
      <c r="I11" s="551"/>
      <c r="J11" s="551"/>
      <c r="K11" s="551"/>
      <c r="L11" s="551"/>
      <c r="M11" s="551"/>
      <c r="N11" s="551"/>
      <c r="O11" s="40" t="s">
        <v>17</v>
      </c>
      <c r="P11" s="40" t="s">
        <v>18</v>
      </c>
      <c r="Q11" s="40" t="s">
        <v>19</v>
      </c>
      <c r="R11" s="551"/>
      <c r="S11" s="551"/>
      <c r="T11" s="598"/>
      <c r="U11" s="598"/>
      <c r="V11" s="551"/>
      <c r="W11" s="40" t="s">
        <v>20</v>
      </c>
      <c r="X11" s="40" t="s">
        <v>21</v>
      </c>
      <c r="Y11" s="40" t="s">
        <v>20</v>
      </c>
      <c r="Z11" s="40" t="s">
        <v>21</v>
      </c>
      <c r="AA11" s="551"/>
      <c r="AB11" s="551"/>
      <c r="AC11" s="598"/>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algorithmName="SHA-512" hashValue="yor7YcBR+qNwu/lgDTT5jji1lfrH+BGPAS6FR3TQVrrruPpx6TiLVL/4bNV4/FCYXWFuOcGeQiuyIzi0HQVR1A==" saltValue="eGL/9aa80zp1ym2CZdu/Bg==" spinCount="100000"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7109375" customWidth="1"/>
    <col min="29" max="16383" width="13" hidden="1"/>
    <col min="16384" max="16384" width="3.710937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c r="AR9" t="s">
        <v>346</v>
      </c>
    </row>
    <row r="10" spans="5:44"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c r="AR10" t="s">
        <v>336</v>
      </c>
    </row>
    <row r="11" spans="5:44"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86" t="s">
        <v>710</v>
      </c>
      <c r="Z11" s="386" t="s">
        <v>711</v>
      </c>
      <c r="AA11" s="386" t="s">
        <v>712</v>
      </c>
      <c r="AR11" t="s">
        <v>347</v>
      </c>
    </row>
    <row r="12" spans="5:44" ht="20.100000000000001"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WrnmQd0YMHJWpboQ3OpMvZwrPTj00of1wmeaER1i+pDsHVzGT3RDfce2G+j64Hsf5rVxirHTSZyRoPjyNhxsnA==" saltValue="eHDYSNQuQERG/miZoH2JQA=="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85546875" customWidth="1"/>
    <col min="29" max="16383" width="22.42578125" hidden="1"/>
    <col min="16384" max="16384" width="2.8554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c r="AR9" t="s">
        <v>346</v>
      </c>
    </row>
    <row r="10" spans="5:44"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c r="AR10" t="s">
        <v>336</v>
      </c>
    </row>
    <row r="11" spans="5:44"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86" t="s">
        <v>710</v>
      </c>
      <c r="Z11" s="386" t="s">
        <v>711</v>
      </c>
      <c r="AA11" s="386"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J4LPmk8uUJHfqPAtk/RJhcj0txJjXKq4oMQjxItnW9ixXxB4Xg1RGqeH8zHRn12+NTQo6TnAm2pBuTrzStHnFg==" saltValue="CuZg4F5IdzeEEhYFTWE1S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c r="AR9" t="s">
        <v>346</v>
      </c>
    </row>
    <row r="10" spans="5:44"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c r="AR10" t="s">
        <v>336</v>
      </c>
    </row>
    <row r="11" spans="5:44"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86" t="s">
        <v>710</v>
      </c>
      <c r="Z11" s="386" t="s">
        <v>711</v>
      </c>
      <c r="AA11" s="386"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u8SWKMlcUP2l8KMkapx5d/m7hyc5Au17IFNtS2Rz3qhsiwZWUhWMeLTLphDWHTXQHUl9P8DPujgqoRW/vgfAJg==" saltValue="WOTp34N5UqVvo4ITYBQAwA=="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7109375" customWidth="1"/>
    <col min="29" max="16383" width="4.7109375" hidden="1"/>
    <col min="16384" max="16384" width="3.71093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c r="AQ9" t="s">
        <v>346</v>
      </c>
    </row>
    <row r="10" spans="5:43"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c r="AQ10" t="s">
        <v>336</v>
      </c>
    </row>
    <row r="11" spans="5:43"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99" t="s">
        <v>710</v>
      </c>
      <c r="Z11" s="399" t="s">
        <v>711</v>
      </c>
      <c r="AA11" s="399" t="s">
        <v>712</v>
      </c>
      <c r="AQ11" t="s">
        <v>347</v>
      </c>
    </row>
    <row r="12" spans="5:43" ht="20.100000000000001"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I521vST0lomlsxlFZYwY7gr3JzAyIPW+mEDc8BE2d33EZ6x+jEjHkbT0U6EOFH6z/YKdtOpta691+34Q4rMBFg==" saltValue="JmwpYRHvmGZmHsXsP1/ZxQ=="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5703125" customWidth="1"/>
    <col min="29" max="16383" width="3.85546875" hidden="1"/>
    <col min="16384" max="16384" width="4.57031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c r="AQ9" t="s">
        <v>346</v>
      </c>
    </row>
    <row r="10" spans="5:43"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c r="AQ10" t="s">
        <v>336</v>
      </c>
    </row>
    <row r="11" spans="5:43"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99" t="s">
        <v>710</v>
      </c>
      <c r="Z11" s="399" t="s">
        <v>711</v>
      </c>
      <c r="AA11" s="399"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4ZF5KX47VQK4N0kFhEGtQdurhrzCY++xBGGZsPb01x57OumGXks0GhS+xpoGu62xXRtfdCFzeSSorHshrrNdMg==" saltValue="5bGvAlXJqcmyzPgq5ewnyA=="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c r="AR9" t="s">
        <v>346</v>
      </c>
    </row>
    <row r="10" spans="5:44"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c r="AR10" t="s">
        <v>336</v>
      </c>
    </row>
    <row r="11" spans="5:44"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86" t="s">
        <v>710</v>
      </c>
      <c r="Z11" s="386" t="s">
        <v>711</v>
      </c>
      <c r="AA11" s="386"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Pa99OhPjiuV7qghFva5NjQw0vic/83TriZvU5pzDKboFmE1C1of9Wkmtdy2AgDZhUYGA7vZq2+lZSnPyJIc8Eg==" saltValue="LLOdO5Uj0ouca8l9CiM8Yw==" spinCount="100000" sheet="1" objects="1" scenarios="1"/>
  <mergeCells count="20">
    <mergeCell ref="Y9:AA9"/>
    <mergeCell ref="Y10:AA10"/>
    <mergeCell ref="X9:X11"/>
    <mergeCell ref="M10:O10"/>
    <mergeCell ref="P10:P11"/>
    <mergeCell ref="R9:R11"/>
    <mergeCell ref="U9:V10"/>
    <mergeCell ref="W9:W11"/>
    <mergeCell ref="T9:T11"/>
    <mergeCell ref="S9:S11"/>
    <mergeCell ref="J9:J11"/>
    <mergeCell ref="K9:K11"/>
    <mergeCell ref="L9:L11"/>
    <mergeCell ref="M9:P9"/>
    <mergeCell ref="Q9:Q11"/>
    <mergeCell ref="E9:E11"/>
    <mergeCell ref="F9:F11"/>
    <mergeCell ref="G9:G11"/>
    <mergeCell ref="H9:H11"/>
    <mergeCell ref="I9:I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7109375" customWidth="1"/>
    <col min="29" max="16383" width="5.7109375" hidden="1"/>
    <col min="16384" max="16384" width="2.71093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c r="AR9" t="s">
        <v>346</v>
      </c>
    </row>
    <row r="10" spans="5:44"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c r="AR10" t="s">
        <v>336</v>
      </c>
    </row>
    <row r="11" spans="5:44"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99" t="s">
        <v>710</v>
      </c>
      <c r="Z11" s="399" t="s">
        <v>711</v>
      </c>
      <c r="AA11" s="399"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7/xbILsq68AfNDPgcbza8qTieka6G4kFw1bTtuBmkVpdhqc/eIEtD/INZcw7tZENQN2J8uAp2ki6vIk6Dkdh4Q==" saltValue="hh4sDnaODPLDosh5PTaGM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29" s="6" customFormat="1" ht="20.100000000000001"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VqZGV0dN7FmYuSZXUdPskbhgXH5HyuSCUhwMCxGfPLwCvWjIRdUZzVaSkXTMe1lX8yOTamM2AHf+G4Zl+jsnEg==" saltValue="ldTqfmcU1ciniDHgJhWur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8" display="Click here to go 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29" s="6" customFormat="1" ht="20.100000000000001"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AAc/zm9QYxXe2+J457112MnKum91LNB183+NdGoQ6gl8IbY7uUrvytldVUoONkoNHBh6YqjRSpkMEjg1KUwTFQ==" saltValue="W0DpvfaXTHdUpw0wEmYH1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30" width="0" hidden="1" customWidth="1"/>
    <col min="31"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30"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30"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30" s="6" customFormat="1" ht="20.100000000000001"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OfnnMlXBs36/9jXVBHYNtCDEei5OMACaUvhj50DNNVrFtpaWgRmxpREhOWhs/ZiE4FV/JS5ylkESayx1B74IVA==" saltValue="JfOETwIsy8gQQ5F4XkUWq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29" s="6" customFormat="1" ht="20.100000000000001"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ksXcxY+Fa131CFtOe0jc+1hJ2zWZYJnJrg3vaSesnLLD67atgM/uaNaqykPLM34S7xR7lRnJZYqr4E9/z07BxQ==" saltValue="RHAefOJhnF5gMoPim9lG7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29" s="6" customFormat="1" ht="20.100000000000001"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MJrPO/7+vU2pxngpQMRm7FqIPUGBWiJQSOh65Ay7013jJyp1mVi/Zgr6cvAks2QcaqNsVMVnhs2TKDjnMTVGoA==" saltValue="8YMK6yrZQwzesmLF1skjO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30"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30"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30" s="6" customFormat="1" ht="20.100000000000001"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d2i7r9G6jb1Xl0/YavJ6RxZ8Cvw/+837la0bvx40JsfHkaz4nG518ul2JFp6GlWsMfMmY5X+uI/T91EsL/MM+w==" saltValue="rj39LWERPRLfaUYsbe1xo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30"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30"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30" s="6" customFormat="1" ht="20.100000000000001"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XvxNDtmoaDwgJoyPUtlybaI6tjbRYxtw9wnSBzYHlNywNoRyj0dG+zylxOcECpieWkxwwHNdmMBb27WOGf+ihw==" saltValue="kmsy1dp1sKrggngmS27tX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29" s="6" customFormat="1" ht="20.100000000000001"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OGaeKaRyv15zmoeK0/POE5ftSMhTuEtofop9Wse668QQlIimuvpSUcu9Fo/ba/ki5nPM/sOLI+j4djdQah9g1g==" saltValue="NImcLSyceasErGqmLXcLr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29" s="6" customFormat="1" ht="20.100000000000001"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8jmr4uPFbzLjpBXTXm9gVIACP+/0bDosUGHHSHDeIpGpRfl8OJUuPTEliLXMFrw6RKd6xGUDZG2DI3XlBG5tOg==" saltValue="G/IpVfDSrSo19S3tgUbSu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29" s="6" customFormat="1" ht="20.100000000000001"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26amNos3Q1dgbE1VsCizpZjywFPHGDMzK1grJXkjBrA05h3Ji76Em7HNblzl8dSaqK0LkUNCPgnQZ/s7E19VmQ==" saltValue="8XdDHvBCtgoVNof7Go5BM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29" s="6" customFormat="1" ht="20.100000000000001"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i5RH2hF5zHEBDFV197NREiU8LUm75b/RJRND2LWEzLMJzTzTWXHKkWqYs2WNW5hQl5TjLCWmcdmdDlF3oncXlg==" saltValue="cUQ3Y025wuBcNl5Z38dEw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382" t="s">
        <v>17</v>
      </c>
      <c r="N11" s="382" t="s">
        <v>18</v>
      </c>
      <c r="O11" s="382" t="s">
        <v>19</v>
      </c>
      <c r="P11" s="551"/>
      <c r="Q11" s="551"/>
      <c r="R11" s="598"/>
      <c r="S11" s="598"/>
      <c r="T11" s="551"/>
      <c r="U11" s="382" t="s">
        <v>20</v>
      </c>
      <c r="V11" s="382" t="s">
        <v>21</v>
      </c>
      <c r="W11" s="551"/>
      <c r="X11" s="551"/>
      <c r="Y11" s="399" t="s">
        <v>710</v>
      </c>
      <c r="Z11" s="399" t="s">
        <v>711</v>
      </c>
      <c r="AA11" s="399" t="s">
        <v>712</v>
      </c>
    </row>
    <row r="12" spans="5:29" s="6" customFormat="1" ht="20.100000000000001"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xE979p4h+cmRajLXe/RUZXNFdQlVzj1RrtpRwjE2LmQS9KUPPFx0CoGcuTSh9wEUVP5SM+Qscw2v/wMcEzgqxA==" saltValue="RRgeG4WA8vduw3+pePVXQ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99" t="s">
        <v>710</v>
      </c>
      <c r="Z11" s="399" t="s">
        <v>711</v>
      </c>
      <c r="AA11" s="399" t="s">
        <v>712</v>
      </c>
    </row>
    <row r="12" spans="5:29" s="6" customFormat="1" ht="20.100000000000001"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09gMhqkWMbWvaMRUBeAt03Y8MweJQgjvLeDYP3tqfi0f681MuG41cRbcohxcov5qqrky6LVftbo71Wl7l36mNg==" saltValue="6Yi9sN8np0yKPorcWfhR4w==" spinCount="100000" sheet="1" objects="1" scenarios="1"/>
  <mergeCells count="20">
    <mergeCell ref="H9:H11"/>
    <mergeCell ref="E9:E11"/>
    <mergeCell ref="F9:F11"/>
    <mergeCell ref="G9:G11"/>
    <mergeCell ref="K9:K11"/>
    <mergeCell ref="I9:I11"/>
    <mergeCell ref="J9:J11"/>
    <mergeCell ref="L9:L11"/>
    <mergeCell ref="M9:P9"/>
    <mergeCell ref="U9:V10"/>
    <mergeCell ref="T9:T11"/>
    <mergeCell ref="R9:R11"/>
    <mergeCell ref="S9:S11"/>
    <mergeCell ref="M10:O10"/>
    <mergeCell ref="Y9:AA9"/>
    <mergeCell ref="Y10:AA10"/>
    <mergeCell ref="Q9:Q11"/>
    <mergeCell ref="P10:P11"/>
    <mergeCell ref="X9:X11"/>
    <mergeCell ref="W9:W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599" t="s">
        <v>119</v>
      </c>
      <c r="E9" s="599" t="s">
        <v>34</v>
      </c>
      <c r="F9" s="599" t="s">
        <v>376</v>
      </c>
      <c r="G9" s="596" t="s">
        <v>118</v>
      </c>
      <c r="H9" s="551" t="s">
        <v>1</v>
      </c>
      <c r="I9" s="596" t="s">
        <v>368</v>
      </c>
      <c r="J9" s="551" t="s">
        <v>3</v>
      </c>
      <c r="K9" s="551" t="s">
        <v>4</v>
      </c>
      <c r="L9" s="551" t="s">
        <v>5</v>
      </c>
      <c r="M9" s="551" t="s">
        <v>6</v>
      </c>
      <c r="N9" s="551" t="s">
        <v>7</v>
      </c>
      <c r="O9" s="551" t="s">
        <v>8</v>
      </c>
      <c r="P9" s="551"/>
      <c r="Q9" s="551"/>
      <c r="R9" s="551"/>
      <c r="S9" s="551" t="s">
        <v>9</v>
      </c>
      <c r="T9" s="599" t="s">
        <v>447</v>
      </c>
      <c r="U9" s="599" t="s">
        <v>120</v>
      </c>
      <c r="V9" s="551" t="s">
        <v>89</v>
      </c>
      <c r="W9" s="551" t="s">
        <v>12</v>
      </c>
      <c r="X9" s="551"/>
      <c r="Y9" s="551" t="s">
        <v>14</v>
      </c>
      <c r="Z9" s="511" t="s">
        <v>441</v>
      </c>
      <c r="AA9" s="587" t="s">
        <v>708</v>
      </c>
      <c r="AB9" s="588"/>
      <c r="AC9" s="589"/>
      <c r="AG9" s="63" t="s">
        <v>348</v>
      </c>
      <c r="AV9" t="s">
        <v>34</v>
      </c>
    </row>
    <row r="10" spans="4:57" ht="31.5" customHeight="1">
      <c r="D10" s="597"/>
      <c r="E10" s="597"/>
      <c r="F10" s="597"/>
      <c r="G10" s="524"/>
      <c r="H10" s="551"/>
      <c r="I10" s="597"/>
      <c r="J10" s="551"/>
      <c r="K10" s="551"/>
      <c r="L10" s="551"/>
      <c r="M10" s="551"/>
      <c r="N10" s="551"/>
      <c r="O10" s="551" t="s">
        <v>15</v>
      </c>
      <c r="P10" s="551"/>
      <c r="Q10" s="551"/>
      <c r="R10" s="551" t="s">
        <v>16</v>
      </c>
      <c r="S10" s="551"/>
      <c r="T10" s="597"/>
      <c r="U10" s="561"/>
      <c r="V10" s="551"/>
      <c r="W10" s="551"/>
      <c r="X10" s="551"/>
      <c r="Y10" s="551"/>
      <c r="Z10" s="551"/>
      <c r="AA10" s="518" t="s">
        <v>709</v>
      </c>
      <c r="AB10" s="519"/>
      <c r="AC10" s="520"/>
      <c r="AG10" s="63" t="s">
        <v>339</v>
      </c>
      <c r="AV10" t="s">
        <v>379</v>
      </c>
    </row>
    <row r="11" spans="4:57" ht="45">
      <c r="D11" s="598"/>
      <c r="E11" s="598"/>
      <c r="F11" s="598"/>
      <c r="G11" s="510"/>
      <c r="H11" s="551"/>
      <c r="I11" s="598"/>
      <c r="J11" s="551"/>
      <c r="K11" s="551"/>
      <c r="L11" s="551"/>
      <c r="M11" s="551"/>
      <c r="N11" s="551"/>
      <c r="O11" s="382" t="s">
        <v>17</v>
      </c>
      <c r="P11" s="382" t="s">
        <v>18</v>
      </c>
      <c r="Q11" s="382" t="s">
        <v>19</v>
      </c>
      <c r="R11" s="551"/>
      <c r="S11" s="551"/>
      <c r="T11" s="598"/>
      <c r="U11" s="562"/>
      <c r="V11" s="551"/>
      <c r="W11" s="382" t="s">
        <v>20</v>
      </c>
      <c r="X11" s="382" t="s">
        <v>21</v>
      </c>
      <c r="Y11" s="551"/>
      <c r="Z11" s="551"/>
      <c r="AA11" s="399" t="s">
        <v>710</v>
      </c>
      <c r="AB11" s="399" t="s">
        <v>711</v>
      </c>
      <c r="AC11" s="399" t="s">
        <v>712</v>
      </c>
      <c r="AG11" s="63" t="s">
        <v>344</v>
      </c>
    </row>
    <row r="12" spans="4:57" ht="15.75">
      <c r="D12" s="9" t="s">
        <v>696</v>
      </c>
      <c r="E12" s="384" t="s">
        <v>33</v>
      </c>
      <c r="F12" s="385"/>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6"/>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W/+5lI5Mwpz4Xg+pThkqRXuylOt5PsBiTv5ap7QR7CcGcrZqn2IYPrdgOZ3wb2sNTt8l9GdzAbaeXrsPriCRLA==" saltValue="w8ChEML9nrgLYWE2cSKCbQ==" spinCount="100000" sheet="1" objects="1" scenarios="1"/>
  <mergeCells count="23">
    <mergeCell ref="I9:I11"/>
    <mergeCell ref="D9:D11"/>
    <mergeCell ref="E9:E11"/>
    <mergeCell ref="F9:F11"/>
    <mergeCell ref="G9:G11"/>
    <mergeCell ref="H9:H11"/>
    <mergeCell ref="J9:J11"/>
    <mergeCell ref="K9:K11"/>
    <mergeCell ref="L9:L11"/>
    <mergeCell ref="M9:M11"/>
    <mergeCell ref="N9:N11"/>
    <mergeCell ref="AA9:AC9"/>
    <mergeCell ref="AA10:AC10"/>
    <mergeCell ref="Z9:Z11"/>
    <mergeCell ref="O10:Q10"/>
    <mergeCell ref="R10:R11"/>
    <mergeCell ref="S9:S11"/>
    <mergeCell ref="T9:T11"/>
    <mergeCell ref="U9:U11"/>
    <mergeCell ref="V9:V11"/>
    <mergeCell ref="W9:X10"/>
    <mergeCell ref="Y9:Y11"/>
    <mergeCell ref="O9:R9"/>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599" t="s">
        <v>119</v>
      </c>
      <c r="E9" s="599" t="s">
        <v>34</v>
      </c>
      <c r="F9" s="599" t="s">
        <v>376</v>
      </c>
      <c r="G9" s="596" t="s">
        <v>118</v>
      </c>
      <c r="H9" s="551" t="s">
        <v>1</v>
      </c>
      <c r="I9" s="596" t="s">
        <v>368</v>
      </c>
      <c r="J9" s="551" t="s">
        <v>3</v>
      </c>
      <c r="K9" s="551" t="s">
        <v>4</v>
      </c>
      <c r="L9" s="551" t="s">
        <v>5</v>
      </c>
      <c r="M9" s="551" t="s">
        <v>6</v>
      </c>
      <c r="N9" s="551" t="s">
        <v>7</v>
      </c>
      <c r="O9" s="551" t="s">
        <v>8</v>
      </c>
      <c r="P9" s="551"/>
      <c r="Q9" s="551"/>
      <c r="R9" s="551"/>
      <c r="S9" s="551" t="s">
        <v>9</v>
      </c>
      <c r="T9" s="599" t="s">
        <v>447</v>
      </c>
      <c r="U9" s="599" t="s">
        <v>120</v>
      </c>
      <c r="V9" s="551" t="s">
        <v>89</v>
      </c>
      <c r="W9" s="551" t="s">
        <v>12</v>
      </c>
      <c r="X9" s="551"/>
      <c r="Y9" s="551" t="s">
        <v>14</v>
      </c>
      <c r="Z9" s="511" t="s">
        <v>441</v>
      </c>
      <c r="AA9" s="587" t="s">
        <v>708</v>
      </c>
      <c r="AB9" s="588"/>
      <c r="AC9" s="589"/>
      <c r="AG9" s="63" t="s">
        <v>348</v>
      </c>
      <c r="AV9" t="s">
        <v>34</v>
      </c>
    </row>
    <row r="10" spans="4:57" ht="31.5" customHeight="1">
      <c r="D10" s="597"/>
      <c r="E10" s="597"/>
      <c r="F10" s="597"/>
      <c r="G10" s="524"/>
      <c r="H10" s="551"/>
      <c r="I10" s="597"/>
      <c r="J10" s="551"/>
      <c r="K10" s="551"/>
      <c r="L10" s="551"/>
      <c r="M10" s="551"/>
      <c r="N10" s="551"/>
      <c r="O10" s="551" t="s">
        <v>15</v>
      </c>
      <c r="P10" s="551"/>
      <c r="Q10" s="551"/>
      <c r="R10" s="551" t="s">
        <v>16</v>
      </c>
      <c r="S10" s="551"/>
      <c r="T10" s="597"/>
      <c r="U10" s="561"/>
      <c r="V10" s="551"/>
      <c r="W10" s="551"/>
      <c r="X10" s="551"/>
      <c r="Y10" s="551"/>
      <c r="Z10" s="551"/>
      <c r="AA10" s="518" t="s">
        <v>709</v>
      </c>
      <c r="AB10" s="519"/>
      <c r="AC10" s="520"/>
      <c r="AG10" s="63" t="s">
        <v>339</v>
      </c>
      <c r="AV10" t="s">
        <v>379</v>
      </c>
    </row>
    <row r="11" spans="4:57" ht="45">
      <c r="D11" s="598"/>
      <c r="E11" s="598"/>
      <c r="F11" s="598"/>
      <c r="G11" s="510"/>
      <c r="H11" s="551"/>
      <c r="I11" s="598"/>
      <c r="J11" s="551"/>
      <c r="K11" s="551"/>
      <c r="L11" s="551"/>
      <c r="M11" s="551"/>
      <c r="N11" s="551"/>
      <c r="O11" s="40" t="s">
        <v>17</v>
      </c>
      <c r="P11" s="40" t="s">
        <v>18</v>
      </c>
      <c r="Q11" s="40" t="s">
        <v>19</v>
      </c>
      <c r="R11" s="551"/>
      <c r="S11" s="551"/>
      <c r="T11" s="598"/>
      <c r="U11" s="562"/>
      <c r="V11" s="551"/>
      <c r="W11" s="40" t="s">
        <v>20</v>
      </c>
      <c r="X11" s="40" t="s">
        <v>21</v>
      </c>
      <c r="Y11" s="551"/>
      <c r="Z11" s="551"/>
      <c r="AA11" s="399" t="s">
        <v>710</v>
      </c>
      <c r="AB11" s="399" t="s">
        <v>711</v>
      </c>
      <c r="AC11" s="399" t="s">
        <v>712</v>
      </c>
      <c r="AG11" s="63" t="s">
        <v>344</v>
      </c>
    </row>
    <row r="12" spans="4:57" ht="15.7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6"/>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J9ipk6hncUCPZf7hOTBKRPI06ppRl75HY6EVthi2NGIND2jqsrPb7Uj/mU0QjcXsPGxQqfh5opouvvnLCj8Dtw==" saltValue="X8kmHVl2vVDsFPSkQiRzqA==" spinCount="100000" sheet="1" objects="1" scenarios="1"/>
  <mergeCells count="23">
    <mergeCell ref="R10:R11"/>
    <mergeCell ref="D9:D11"/>
    <mergeCell ref="E9:E11"/>
    <mergeCell ref="F9:F11"/>
    <mergeCell ref="H9:H11"/>
    <mergeCell ref="I9:I11"/>
    <mergeCell ref="G9:G11"/>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99" t="s">
        <v>119</v>
      </c>
      <c r="F9" s="511" t="s">
        <v>118</v>
      </c>
      <c r="G9" s="551" t="s">
        <v>1</v>
      </c>
      <c r="H9" s="511" t="s">
        <v>3</v>
      </c>
      <c r="I9" s="551" t="s">
        <v>4</v>
      </c>
      <c r="J9" s="551" t="s">
        <v>5</v>
      </c>
      <c r="K9" s="551" t="s">
        <v>6</v>
      </c>
      <c r="L9" s="551" t="s">
        <v>7</v>
      </c>
      <c r="M9" s="551" t="s">
        <v>8</v>
      </c>
      <c r="N9" s="551"/>
      <c r="O9" s="551"/>
      <c r="P9" s="551"/>
      <c r="Q9" s="599" t="s">
        <v>447</v>
      </c>
      <c r="R9" s="551" t="s">
        <v>10</v>
      </c>
      <c r="S9" s="599" t="s">
        <v>116</v>
      </c>
      <c r="T9" s="551" t="s">
        <v>89</v>
      </c>
      <c r="U9" s="551" t="s">
        <v>12</v>
      </c>
      <c r="V9" s="551"/>
      <c r="W9" s="551" t="s">
        <v>14</v>
      </c>
      <c r="X9" s="511" t="s">
        <v>441</v>
      </c>
      <c r="Y9" s="587" t="s">
        <v>708</v>
      </c>
      <c r="Z9" s="588"/>
      <c r="AA9" s="589"/>
      <c r="AQ9" t="s">
        <v>346</v>
      </c>
    </row>
    <row r="10" spans="5:43" ht="31.5" customHeight="1">
      <c r="E10" s="597"/>
      <c r="F10" s="551"/>
      <c r="G10" s="551"/>
      <c r="H10" s="551"/>
      <c r="I10" s="551"/>
      <c r="J10" s="551"/>
      <c r="K10" s="551"/>
      <c r="L10" s="551"/>
      <c r="M10" s="551" t="s">
        <v>15</v>
      </c>
      <c r="N10" s="551"/>
      <c r="O10" s="551"/>
      <c r="P10" s="551" t="s">
        <v>16</v>
      </c>
      <c r="Q10" s="597"/>
      <c r="R10" s="551"/>
      <c r="S10" s="597"/>
      <c r="T10" s="551"/>
      <c r="U10" s="551"/>
      <c r="V10" s="551"/>
      <c r="W10" s="551"/>
      <c r="X10" s="551"/>
      <c r="Y10" s="518" t="s">
        <v>709</v>
      </c>
      <c r="Z10" s="519"/>
      <c r="AA10" s="520"/>
      <c r="AQ10" t="s">
        <v>336</v>
      </c>
    </row>
    <row r="11" spans="5:43" ht="78.75" customHeight="1">
      <c r="E11" s="598"/>
      <c r="F11" s="551"/>
      <c r="G11" s="551"/>
      <c r="H11" s="551"/>
      <c r="I11" s="551"/>
      <c r="J11" s="551"/>
      <c r="K11" s="551"/>
      <c r="L11" s="551"/>
      <c r="M11" s="382" t="s">
        <v>17</v>
      </c>
      <c r="N11" s="382" t="s">
        <v>18</v>
      </c>
      <c r="O11" s="382" t="s">
        <v>19</v>
      </c>
      <c r="P11" s="551"/>
      <c r="Q11" s="598"/>
      <c r="R11" s="551"/>
      <c r="S11" s="598"/>
      <c r="T11" s="551"/>
      <c r="U11" s="382" t="s">
        <v>20</v>
      </c>
      <c r="V11" s="382" t="s">
        <v>21</v>
      </c>
      <c r="W11" s="551"/>
      <c r="X11" s="551"/>
      <c r="Y11" s="399" t="s">
        <v>710</v>
      </c>
      <c r="Z11" s="399" t="s">
        <v>711</v>
      </c>
      <c r="AA11" s="399" t="s">
        <v>712</v>
      </c>
      <c r="AQ11" t="s">
        <v>347</v>
      </c>
    </row>
    <row r="12" spans="5:43" ht="20.25" customHeight="1">
      <c r="E12" s="9" t="s">
        <v>695</v>
      </c>
      <c r="F12" s="384"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ttJtlILDGLrp4ovPxIJQrZW9XsimBQg12IkguhqJugWU1pf7ssRh9SQKht0LGV5EZhkZLUQjE/3ZZbJ4pEZpvA==" saltValue="+Shp9EwIr7tnPDm8l3gmb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99" t="s">
        <v>119</v>
      </c>
      <c r="F9" s="511" t="s">
        <v>118</v>
      </c>
      <c r="G9" s="551" t="s">
        <v>1</v>
      </c>
      <c r="H9" s="511" t="s">
        <v>3</v>
      </c>
      <c r="I9" s="551" t="s">
        <v>4</v>
      </c>
      <c r="J9" s="551" t="s">
        <v>5</v>
      </c>
      <c r="K9" s="551" t="s">
        <v>6</v>
      </c>
      <c r="L9" s="551" t="s">
        <v>7</v>
      </c>
      <c r="M9" s="551" t="s">
        <v>8</v>
      </c>
      <c r="N9" s="551"/>
      <c r="O9" s="551"/>
      <c r="P9" s="551"/>
      <c r="Q9" s="599" t="s">
        <v>447</v>
      </c>
      <c r="R9" s="551" t="s">
        <v>10</v>
      </c>
      <c r="S9" s="599" t="s">
        <v>116</v>
      </c>
      <c r="T9" s="551" t="s">
        <v>89</v>
      </c>
      <c r="U9" s="551" t="s">
        <v>12</v>
      </c>
      <c r="V9" s="551"/>
      <c r="W9" s="551" t="s">
        <v>14</v>
      </c>
      <c r="X9" s="511" t="s">
        <v>441</v>
      </c>
      <c r="Y9" s="587" t="s">
        <v>708</v>
      </c>
      <c r="Z9" s="588"/>
      <c r="AA9" s="589"/>
      <c r="AQ9" t="s">
        <v>346</v>
      </c>
    </row>
    <row r="10" spans="5:43" ht="31.5" customHeight="1">
      <c r="E10" s="597"/>
      <c r="F10" s="551"/>
      <c r="G10" s="551"/>
      <c r="H10" s="551"/>
      <c r="I10" s="551"/>
      <c r="J10" s="551"/>
      <c r="K10" s="551"/>
      <c r="L10" s="551"/>
      <c r="M10" s="551" t="s">
        <v>15</v>
      </c>
      <c r="N10" s="551"/>
      <c r="O10" s="551"/>
      <c r="P10" s="551" t="s">
        <v>16</v>
      </c>
      <c r="Q10" s="597"/>
      <c r="R10" s="551"/>
      <c r="S10" s="597"/>
      <c r="T10" s="551"/>
      <c r="U10" s="551"/>
      <c r="V10" s="551"/>
      <c r="W10" s="551"/>
      <c r="X10" s="551"/>
      <c r="Y10" s="518" t="s">
        <v>709</v>
      </c>
      <c r="Z10" s="519"/>
      <c r="AA10" s="520"/>
      <c r="AQ10" t="s">
        <v>336</v>
      </c>
    </row>
    <row r="11" spans="5:43" ht="78.75" customHeight="1">
      <c r="E11" s="598"/>
      <c r="F11" s="551"/>
      <c r="G11" s="551"/>
      <c r="H11" s="551"/>
      <c r="I11" s="551"/>
      <c r="J11" s="551"/>
      <c r="K11" s="551"/>
      <c r="L11" s="551"/>
      <c r="M11" s="382" t="s">
        <v>17</v>
      </c>
      <c r="N11" s="382" t="s">
        <v>18</v>
      </c>
      <c r="O11" s="382" t="s">
        <v>19</v>
      </c>
      <c r="P11" s="551"/>
      <c r="Q11" s="598"/>
      <c r="R11" s="551"/>
      <c r="S11" s="598"/>
      <c r="T11" s="551"/>
      <c r="U11" s="382" t="s">
        <v>20</v>
      </c>
      <c r="V11" s="382" t="s">
        <v>21</v>
      </c>
      <c r="W11" s="551"/>
      <c r="X11" s="551"/>
      <c r="Y11" s="399" t="s">
        <v>710</v>
      </c>
      <c r="Z11" s="399" t="s">
        <v>711</v>
      </c>
      <c r="AA11" s="399" t="s">
        <v>712</v>
      </c>
      <c r="AQ11" t="s">
        <v>347</v>
      </c>
    </row>
    <row r="12" spans="5:43" ht="20.25" customHeight="1">
      <c r="E12" s="9" t="s">
        <v>692</v>
      </c>
      <c r="F12" s="384"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LgMHbtZ2gmuCtId8QSa4do9uW4Q9oTuo8XAWbNNRzEQq7bhQA7S1u8bMCK9hPzaXA2Hsp0M9hNPDZYEsrq7zEA==" saltValue="ZgDbpgEUMLwBOd6QMKIkf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599" t="s">
        <v>119</v>
      </c>
      <c r="F9" s="511" t="s">
        <v>118</v>
      </c>
      <c r="G9" s="551" t="s">
        <v>1</v>
      </c>
      <c r="H9" s="511" t="s">
        <v>3</v>
      </c>
      <c r="I9" s="551" t="s">
        <v>4</v>
      </c>
      <c r="J9" s="551" t="s">
        <v>5</v>
      </c>
      <c r="K9" s="551" t="s">
        <v>6</v>
      </c>
      <c r="L9" s="551" t="s">
        <v>7</v>
      </c>
      <c r="M9" s="551" t="s">
        <v>8</v>
      </c>
      <c r="N9" s="551"/>
      <c r="O9" s="551"/>
      <c r="P9" s="551"/>
      <c r="Q9" s="599" t="s">
        <v>447</v>
      </c>
      <c r="R9" s="551" t="s">
        <v>10</v>
      </c>
      <c r="S9" s="599" t="s">
        <v>116</v>
      </c>
      <c r="T9" s="551" t="s">
        <v>89</v>
      </c>
      <c r="U9" s="551" t="s">
        <v>12</v>
      </c>
      <c r="V9" s="551"/>
      <c r="W9" s="551" t="s">
        <v>14</v>
      </c>
      <c r="X9" s="511" t="s">
        <v>441</v>
      </c>
      <c r="Y9" s="587" t="s">
        <v>708</v>
      </c>
      <c r="Z9" s="588"/>
      <c r="AA9" s="589"/>
      <c r="AQ9" t="s">
        <v>346</v>
      </c>
    </row>
    <row r="10" spans="5:43" ht="31.5" customHeight="1">
      <c r="E10" s="597"/>
      <c r="F10" s="551"/>
      <c r="G10" s="551"/>
      <c r="H10" s="551"/>
      <c r="I10" s="551"/>
      <c r="J10" s="551"/>
      <c r="K10" s="551"/>
      <c r="L10" s="551"/>
      <c r="M10" s="551" t="s">
        <v>15</v>
      </c>
      <c r="N10" s="551"/>
      <c r="O10" s="551"/>
      <c r="P10" s="551" t="s">
        <v>16</v>
      </c>
      <c r="Q10" s="597"/>
      <c r="R10" s="551"/>
      <c r="S10" s="597"/>
      <c r="T10" s="551"/>
      <c r="U10" s="551"/>
      <c r="V10" s="551"/>
      <c r="W10" s="551"/>
      <c r="X10" s="551"/>
      <c r="Y10" s="518" t="s">
        <v>709</v>
      </c>
      <c r="Z10" s="519"/>
      <c r="AA10" s="520"/>
      <c r="AQ10" t="s">
        <v>336</v>
      </c>
    </row>
    <row r="11" spans="5:43" ht="78.75" customHeight="1">
      <c r="E11" s="598"/>
      <c r="F11" s="551"/>
      <c r="G11" s="551"/>
      <c r="H11" s="551"/>
      <c r="I11" s="551"/>
      <c r="J11" s="551"/>
      <c r="K11" s="551"/>
      <c r="L11" s="551"/>
      <c r="M11" s="382" t="s">
        <v>17</v>
      </c>
      <c r="N11" s="382" t="s">
        <v>18</v>
      </c>
      <c r="O11" s="382" t="s">
        <v>19</v>
      </c>
      <c r="P11" s="551"/>
      <c r="Q11" s="598"/>
      <c r="R11" s="551"/>
      <c r="S11" s="598"/>
      <c r="T11" s="551"/>
      <c r="U11" s="382" t="s">
        <v>20</v>
      </c>
      <c r="V11" s="382" t="s">
        <v>21</v>
      </c>
      <c r="W11" s="551"/>
      <c r="X11" s="551"/>
      <c r="Y11" s="399" t="s">
        <v>710</v>
      </c>
      <c r="Z11" s="399" t="s">
        <v>711</v>
      </c>
      <c r="AA11" s="399" t="s">
        <v>712</v>
      </c>
      <c r="AQ11" t="s">
        <v>347</v>
      </c>
    </row>
    <row r="12" spans="5:43" ht="20.25" customHeight="1">
      <c r="E12" s="9" t="s">
        <v>690</v>
      </c>
      <c r="F12" s="384"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Q8olKs0VR4saLPgPllbhnheL5Gg3z/JjtpMdTamLQvnEeTumfXszlb8WH/9NrPkIgO1vFTUZEWlUslAx8nar0g==" saltValue="XR3gcWezRfaa0fQuzNE1T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99" t="s">
        <v>119</v>
      </c>
      <c r="F9" s="511" t="s">
        <v>118</v>
      </c>
      <c r="G9" s="551" t="s">
        <v>1</v>
      </c>
      <c r="H9" s="511" t="s">
        <v>3</v>
      </c>
      <c r="I9" s="551" t="s">
        <v>4</v>
      </c>
      <c r="J9" s="551" t="s">
        <v>5</v>
      </c>
      <c r="K9" s="551" t="s">
        <v>6</v>
      </c>
      <c r="L9" s="551" t="s">
        <v>7</v>
      </c>
      <c r="M9" s="551" t="s">
        <v>8</v>
      </c>
      <c r="N9" s="551"/>
      <c r="O9" s="551"/>
      <c r="P9" s="551"/>
      <c r="Q9" s="599" t="s">
        <v>447</v>
      </c>
      <c r="R9" s="551" t="s">
        <v>10</v>
      </c>
      <c r="S9" s="599" t="s">
        <v>116</v>
      </c>
      <c r="T9" s="551" t="s">
        <v>89</v>
      </c>
      <c r="U9" s="551" t="s">
        <v>12</v>
      </c>
      <c r="V9" s="551"/>
      <c r="W9" s="551" t="s">
        <v>14</v>
      </c>
      <c r="X9" s="511" t="s">
        <v>441</v>
      </c>
      <c r="Y9" s="587" t="s">
        <v>708</v>
      </c>
      <c r="Z9" s="588"/>
      <c r="AA9" s="589"/>
      <c r="AR9" t="s">
        <v>346</v>
      </c>
    </row>
    <row r="10" spans="5:44" ht="31.5" customHeight="1">
      <c r="E10" s="597"/>
      <c r="F10" s="551"/>
      <c r="G10" s="551"/>
      <c r="H10" s="551"/>
      <c r="I10" s="551"/>
      <c r="J10" s="551"/>
      <c r="K10" s="551"/>
      <c r="L10" s="551"/>
      <c r="M10" s="551" t="s">
        <v>15</v>
      </c>
      <c r="N10" s="551"/>
      <c r="O10" s="551"/>
      <c r="P10" s="551" t="s">
        <v>16</v>
      </c>
      <c r="Q10" s="597"/>
      <c r="R10" s="551"/>
      <c r="S10" s="597"/>
      <c r="T10" s="551"/>
      <c r="U10" s="551"/>
      <c r="V10" s="551"/>
      <c r="W10" s="551"/>
      <c r="X10" s="551"/>
      <c r="Y10" s="518" t="s">
        <v>709</v>
      </c>
      <c r="Z10" s="519"/>
      <c r="AA10" s="520"/>
      <c r="AR10" t="s">
        <v>336</v>
      </c>
    </row>
    <row r="11" spans="5:44" ht="78.75" customHeight="1">
      <c r="E11" s="598"/>
      <c r="F11" s="551"/>
      <c r="G11" s="551"/>
      <c r="H11" s="551"/>
      <c r="I11" s="551"/>
      <c r="J11" s="551"/>
      <c r="K11" s="551"/>
      <c r="L11" s="551"/>
      <c r="M11" s="382" t="s">
        <v>17</v>
      </c>
      <c r="N11" s="382" t="s">
        <v>18</v>
      </c>
      <c r="O11" s="382" t="s">
        <v>19</v>
      </c>
      <c r="P11" s="551"/>
      <c r="Q11" s="598"/>
      <c r="R11" s="551"/>
      <c r="S11" s="598"/>
      <c r="T11" s="551"/>
      <c r="U11" s="382" t="s">
        <v>20</v>
      </c>
      <c r="V11" s="382" t="s">
        <v>21</v>
      </c>
      <c r="W11" s="551"/>
      <c r="X11" s="551"/>
      <c r="Y11" s="399" t="s">
        <v>710</v>
      </c>
      <c r="Z11" s="399" t="s">
        <v>711</v>
      </c>
      <c r="AA11" s="399" t="s">
        <v>712</v>
      </c>
      <c r="AR11" t="s">
        <v>347</v>
      </c>
    </row>
    <row r="12" spans="5:44" ht="20.25" customHeight="1">
      <c r="E12" s="9" t="s">
        <v>689</v>
      </c>
      <c r="F12" s="384"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FS+40AVUSJYh9GB2VG05tJb2WTmLctzTmd8IjAUNPko3Ikj7XRSqwj5/IoKEFdn7PpluxTgYN/eecz0XJFcJyQ==" saltValue="TO44wmozPDN0Ov/enSs8M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99" t="s">
        <v>119</v>
      </c>
      <c r="F9" s="511" t="s">
        <v>118</v>
      </c>
      <c r="G9" s="551" t="s">
        <v>1</v>
      </c>
      <c r="H9" s="511" t="s">
        <v>3</v>
      </c>
      <c r="I9" s="551" t="s">
        <v>4</v>
      </c>
      <c r="J9" s="551" t="s">
        <v>5</v>
      </c>
      <c r="K9" s="551" t="s">
        <v>6</v>
      </c>
      <c r="L9" s="551" t="s">
        <v>7</v>
      </c>
      <c r="M9" s="551" t="s">
        <v>8</v>
      </c>
      <c r="N9" s="551"/>
      <c r="O9" s="551"/>
      <c r="P9" s="551"/>
      <c r="Q9" s="599" t="s">
        <v>447</v>
      </c>
      <c r="R9" s="551" t="s">
        <v>10</v>
      </c>
      <c r="S9" s="599" t="s">
        <v>116</v>
      </c>
      <c r="T9" s="551" t="s">
        <v>89</v>
      </c>
      <c r="U9" s="551" t="s">
        <v>12</v>
      </c>
      <c r="V9" s="551"/>
      <c r="W9" s="551" t="s">
        <v>14</v>
      </c>
      <c r="X9" s="511" t="s">
        <v>441</v>
      </c>
      <c r="Y9" s="587" t="s">
        <v>708</v>
      </c>
      <c r="Z9" s="588"/>
      <c r="AA9" s="589"/>
      <c r="AR9" t="s">
        <v>346</v>
      </c>
    </row>
    <row r="10" spans="5:44" ht="31.5" customHeight="1">
      <c r="E10" s="597"/>
      <c r="F10" s="551"/>
      <c r="G10" s="551"/>
      <c r="H10" s="551"/>
      <c r="I10" s="551"/>
      <c r="J10" s="551"/>
      <c r="K10" s="551"/>
      <c r="L10" s="551"/>
      <c r="M10" s="551" t="s">
        <v>15</v>
      </c>
      <c r="N10" s="551"/>
      <c r="O10" s="551"/>
      <c r="P10" s="551" t="s">
        <v>16</v>
      </c>
      <c r="Q10" s="597"/>
      <c r="R10" s="551"/>
      <c r="S10" s="597"/>
      <c r="T10" s="551"/>
      <c r="U10" s="551"/>
      <c r="V10" s="551"/>
      <c r="W10" s="551"/>
      <c r="X10" s="551"/>
      <c r="Y10" s="518" t="s">
        <v>709</v>
      </c>
      <c r="Z10" s="519"/>
      <c r="AA10" s="520"/>
      <c r="AR10" t="s">
        <v>336</v>
      </c>
    </row>
    <row r="11" spans="5:44" ht="78.75" customHeight="1">
      <c r="E11" s="598"/>
      <c r="F11" s="551"/>
      <c r="G11" s="551"/>
      <c r="H11" s="551"/>
      <c r="I11" s="551"/>
      <c r="J11" s="551"/>
      <c r="K11" s="551"/>
      <c r="L11" s="551"/>
      <c r="M11" s="382" t="s">
        <v>17</v>
      </c>
      <c r="N11" s="382" t="s">
        <v>18</v>
      </c>
      <c r="O11" s="382" t="s">
        <v>19</v>
      </c>
      <c r="P11" s="551"/>
      <c r="Q11" s="598"/>
      <c r="R11" s="551"/>
      <c r="S11" s="598"/>
      <c r="T11" s="551"/>
      <c r="U11" s="382" t="s">
        <v>20</v>
      </c>
      <c r="V11" s="382" t="s">
        <v>21</v>
      </c>
      <c r="W11" s="551"/>
      <c r="X11" s="551"/>
      <c r="Y11" s="399" t="s">
        <v>710</v>
      </c>
      <c r="Z11" s="399" t="s">
        <v>711</v>
      </c>
      <c r="AA11" s="399" t="s">
        <v>712</v>
      </c>
      <c r="AR11" t="s">
        <v>347</v>
      </c>
    </row>
    <row r="12" spans="5:44" ht="20.25" customHeight="1">
      <c r="E12" s="9" t="s">
        <v>688</v>
      </c>
      <c r="F12" s="384"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j38TUElxe0fedfUHI0eDDqwB5i96JnwUIF76PfsdyDIxazci1hvOnx+39Oub1AwXbz4htibmp9qKbF0aREw06w==" saltValue="z76Y9qtW+2elfE/qLT4rU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29" width="7.140625" hidden="1" customWidth="1"/>
    <col min="30" max="44" width="0" hidden="1" customWidth="1"/>
    <col min="45"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99" t="s">
        <v>119</v>
      </c>
      <c r="F9" s="511" t="s">
        <v>118</v>
      </c>
      <c r="G9" s="551" t="s">
        <v>1</v>
      </c>
      <c r="H9" s="511" t="s">
        <v>3</v>
      </c>
      <c r="I9" s="551" t="s">
        <v>4</v>
      </c>
      <c r="J9" s="551" t="s">
        <v>5</v>
      </c>
      <c r="K9" s="551" t="s">
        <v>6</v>
      </c>
      <c r="L9" s="551" t="s">
        <v>7</v>
      </c>
      <c r="M9" s="551" t="s">
        <v>8</v>
      </c>
      <c r="N9" s="551"/>
      <c r="O9" s="551"/>
      <c r="P9" s="551"/>
      <c r="Q9" s="599" t="s">
        <v>447</v>
      </c>
      <c r="R9" s="551" t="s">
        <v>10</v>
      </c>
      <c r="S9" s="599" t="s">
        <v>116</v>
      </c>
      <c r="T9" s="551" t="s">
        <v>89</v>
      </c>
      <c r="U9" s="551" t="s">
        <v>12</v>
      </c>
      <c r="V9" s="551"/>
      <c r="W9" s="551" t="s">
        <v>14</v>
      </c>
      <c r="X9" s="511" t="s">
        <v>441</v>
      </c>
      <c r="Y9" s="587" t="s">
        <v>708</v>
      </c>
      <c r="Z9" s="588"/>
      <c r="AA9" s="589"/>
      <c r="AR9" t="s">
        <v>346</v>
      </c>
    </row>
    <row r="10" spans="5:44" ht="31.5" customHeight="1">
      <c r="E10" s="597"/>
      <c r="F10" s="551"/>
      <c r="G10" s="551"/>
      <c r="H10" s="551"/>
      <c r="I10" s="551"/>
      <c r="J10" s="551"/>
      <c r="K10" s="551"/>
      <c r="L10" s="551"/>
      <c r="M10" s="551" t="s">
        <v>15</v>
      </c>
      <c r="N10" s="551"/>
      <c r="O10" s="551"/>
      <c r="P10" s="551" t="s">
        <v>16</v>
      </c>
      <c r="Q10" s="597"/>
      <c r="R10" s="551"/>
      <c r="S10" s="597"/>
      <c r="T10" s="551"/>
      <c r="U10" s="551"/>
      <c r="V10" s="551"/>
      <c r="W10" s="551"/>
      <c r="X10" s="551"/>
      <c r="Y10" s="518" t="s">
        <v>709</v>
      </c>
      <c r="Z10" s="519"/>
      <c r="AA10" s="520"/>
      <c r="AR10" t="s">
        <v>336</v>
      </c>
    </row>
    <row r="11" spans="5:44" ht="78.75" customHeight="1">
      <c r="E11" s="598"/>
      <c r="F11" s="551"/>
      <c r="G11" s="551"/>
      <c r="H11" s="551"/>
      <c r="I11" s="551"/>
      <c r="J11" s="551"/>
      <c r="K11" s="551"/>
      <c r="L11" s="551"/>
      <c r="M11" s="371" t="s">
        <v>17</v>
      </c>
      <c r="N11" s="371" t="s">
        <v>18</v>
      </c>
      <c r="O11" s="371" t="s">
        <v>19</v>
      </c>
      <c r="P11" s="551"/>
      <c r="Q11" s="598"/>
      <c r="R11" s="551"/>
      <c r="S11" s="598"/>
      <c r="T11" s="551"/>
      <c r="U11" s="371" t="s">
        <v>20</v>
      </c>
      <c r="V11" s="371" t="s">
        <v>21</v>
      </c>
      <c r="W11" s="551"/>
      <c r="X11" s="551"/>
      <c r="Y11" s="399" t="s">
        <v>710</v>
      </c>
      <c r="Z11" s="399" t="s">
        <v>711</v>
      </c>
      <c r="AA11" s="399" t="s">
        <v>712</v>
      </c>
      <c r="AR11" t="s">
        <v>347</v>
      </c>
    </row>
    <row r="12" spans="5:44" ht="20.25" customHeight="1">
      <c r="E12" s="9" t="s">
        <v>687</v>
      </c>
      <c r="F12" s="373"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2"/>
      <c r="G15" s="372"/>
      <c r="H15" s="372"/>
      <c r="I15" s="372"/>
      <c r="J15" s="372"/>
      <c r="K15" s="372"/>
      <c r="L15" s="372"/>
      <c r="M15" s="372"/>
      <c r="N15" s="372"/>
      <c r="O15" s="372"/>
      <c r="P15" s="372"/>
      <c r="Q15" s="372"/>
      <c r="R15" s="372"/>
      <c r="S15" s="372"/>
      <c r="T15" s="372"/>
      <c r="U15" s="372"/>
      <c r="V15" s="372"/>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ggGJa02gHGbKVZ+R0aS6X4Xs9DKXA69X6v56hhiMdzMWTS++8RMoU+AuBTT7QCFmdc6OMoUZ7lyQLuaT9BONiA==" saltValue="eK9qJ8SARK9Yg1BRBHKah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599" t="s">
        <v>119</v>
      </c>
      <c r="F9" s="511" t="s">
        <v>118</v>
      </c>
      <c r="G9" s="551" t="s">
        <v>1</v>
      </c>
      <c r="H9" s="511" t="s">
        <v>3</v>
      </c>
      <c r="I9" s="551" t="s">
        <v>4</v>
      </c>
      <c r="J9" s="551" t="s">
        <v>5</v>
      </c>
      <c r="K9" s="551" t="s">
        <v>6</v>
      </c>
      <c r="L9" s="551" t="s">
        <v>7</v>
      </c>
      <c r="M9" s="551" t="s">
        <v>8</v>
      </c>
      <c r="N9" s="551"/>
      <c r="O9" s="551"/>
      <c r="P9" s="551"/>
      <c r="Q9" s="599" t="s">
        <v>447</v>
      </c>
      <c r="R9" s="551" t="s">
        <v>10</v>
      </c>
      <c r="S9" s="599" t="s">
        <v>116</v>
      </c>
      <c r="T9" s="551" t="s">
        <v>89</v>
      </c>
      <c r="U9" s="551" t="s">
        <v>12</v>
      </c>
      <c r="V9" s="551"/>
      <c r="W9" s="551" t="s">
        <v>14</v>
      </c>
      <c r="X9" s="511" t="s">
        <v>441</v>
      </c>
      <c r="Y9" s="587" t="s">
        <v>708</v>
      </c>
      <c r="Z9" s="588"/>
      <c r="AA9" s="589"/>
      <c r="AR9" t="s">
        <v>346</v>
      </c>
    </row>
    <row r="10" spans="5:44" ht="31.5" customHeight="1">
      <c r="E10" s="597"/>
      <c r="F10" s="551"/>
      <c r="G10" s="551"/>
      <c r="H10" s="551"/>
      <c r="I10" s="551"/>
      <c r="J10" s="551"/>
      <c r="K10" s="551"/>
      <c r="L10" s="551"/>
      <c r="M10" s="551" t="s">
        <v>15</v>
      </c>
      <c r="N10" s="551"/>
      <c r="O10" s="551"/>
      <c r="P10" s="551" t="s">
        <v>16</v>
      </c>
      <c r="Q10" s="597"/>
      <c r="R10" s="551"/>
      <c r="S10" s="597"/>
      <c r="T10" s="551"/>
      <c r="U10" s="551"/>
      <c r="V10" s="551"/>
      <c r="W10" s="551"/>
      <c r="X10" s="551"/>
      <c r="Y10" s="518" t="s">
        <v>709</v>
      </c>
      <c r="Z10" s="519"/>
      <c r="AA10" s="520"/>
      <c r="AR10" t="s">
        <v>336</v>
      </c>
    </row>
    <row r="11" spans="5:44" ht="78.75" customHeight="1">
      <c r="E11" s="598"/>
      <c r="F11" s="551"/>
      <c r="G11" s="551"/>
      <c r="H11" s="551"/>
      <c r="I11" s="551"/>
      <c r="J11" s="551"/>
      <c r="K11" s="551"/>
      <c r="L11" s="551"/>
      <c r="M11" s="40" t="s">
        <v>17</v>
      </c>
      <c r="N11" s="40" t="s">
        <v>18</v>
      </c>
      <c r="O11" s="40" t="s">
        <v>19</v>
      </c>
      <c r="P11" s="551"/>
      <c r="Q11" s="598"/>
      <c r="R11" s="551"/>
      <c r="S11" s="598"/>
      <c r="T11" s="551"/>
      <c r="U11" s="40" t="s">
        <v>20</v>
      </c>
      <c r="V11" s="40" t="s">
        <v>21</v>
      </c>
      <c r="W11" s="551"/>
      <c r="X11" s="551"/>
      <c r="Y11" s="399" t="s">
        <v>710</v>
      </c>
      <c r="Z11" s="399" t="s">
        <v>711</v>
      </c>
      <c r="AA11" s="399"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2GfUzlJgHsPzQrmt9pPo6rRFiRziq6Ujp0YKVPTy9rq0DnND9oSdkE+oR71ZBmogxSRIFlRGanrbRpD1vkJ05w==" saltValue="0l8AcFBBG9J1bOb127A0Y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7"/>
  </sheetPr>
  <dimension ref="A1:XFC18"/>
  <sheetViews>
    <sheetView showGridLines="0" topLeftCell="A7" zoomScale="90" zoomScaleNormal="90" workbookViewId="0">
      <selection activeCell="F18" sqref="F18"/>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5.42578125" customWidth="1"/>
    <col min="29" max="29" width="2.140625" hidden="1"/>
    <col min="30" max="16383" width="1.28515625" hidden="1"/>
    <col min="16384" max="16384" width="5.42578125" hidden="1"/>
  </cols>
  <sheetData>
    <row r="1" spans="5:29" hidden="1">
      <c r="I1">
        <v>2</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99" t="s">
        <v>710</v>
      </c>
      <c r="Z11" s="399" t="s">
        <v>711</v>
      </c>
      <c r="AA11" s="399"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637" t="s">
        <v>869</v>
      </c>
      <c r="G15" s="636" t="s">
        <v>870</v>
      </c>
      <c r="H15" s="47">
        <v>12000</v>
      </c>
      <c r="I15" s="47"/>
      <c r="J15" s="47"/>
      <c r="K15" s="634">
        <f>+IFERROR(IF(COUNT(H15:J15),ROUND(SUM(H15:J15),0),""),"")</f>
        <v>12000</v>
      </c>
      <c r="L15" s="51">
        <f>+IFERROR(IF(COUNT(K15),ROUND(K15/'Shareholding Pattern'!$L$78*100,2),""),"")</f>
        <v>1</v>
      </c>
      <c r="M15" s="203">
        <f>IF(H15="","",H15)</f>
        <v>12000</v>
      </c>
      <c r="N15" s="203"/>
      <c r="O15" s="266">
        <f>+IFERROR(IF(COUNT(M15:N15),ROUND(SUM(M15,N15),2),""),"")</f>
        <v>12000</v>
      </c>
      <c r="P15" s="51">
        <f>+IFERROR(IF(COUNT(O15),ROUND(O15/('Shareholding Pattern'!$P$79)*100,2),""),"")</f>
        <v>1</v>
      </c>
      <c r="Q15" s="47"/>
      <c r="R15" s="47"/>
      <c r="S15" s="634" t="str">
        <f>+IFERROR(IF(COUNT(Q15:R15),ROUND(SUM(Q15:R15),0),""),"")</f>
        <v/>
      </c>
      <c r="T15" s="17">
        <f>+IFERROR(IF(COUNT(K15,S15),ROUND(SUM(S15,K15)/SUM('Shareholding Pattern'!$L$78,'Shareholding Pattern'!$T$78)*100,2),""),"")</f>
        <v>1</v>
      </c>
      <c r="U15" s="47"/>
      <c r="V15" s="17" t="str">
        <f>+IFERROR(IF(COUNT(U15),ROUND(SUM(U15)/SUM(K15)*100,2),""),0)</f>
        <v/>
      </c>
      <c r="W15" s="47">
        <v>12000</v>
      </c>
      <c r="X15" s="265"/>
      <c r="Y15" s="47">
        <v>0</v>
      </c>
      <c r="Z15" s="47">
        <v>0</v>
      </c>
      <c r="AA15" s="47">
        <v>0</v>
      </c>
      <c r="AB15" s="11"/>
      <c r="AC15" s="11" t="e">
        <f>SUM(#REF!)</f>
        <v>#REF!</v>
      </c>
    </row>
    <row r="16" spans="5:29" ht="24.95" customHeight="1">
      <c r="E16" s="191">
        <v>2</v>
      </c>
      <c r="F16" s="637" t="s">
        <v>871</v>
      </c>
      <c r="G16" s="636" t="s">
        <v>872</v>
      </c>
      <c r="H16" s="47">
        <v>12000</v>
      </c>
      <c r="I16" s="47"/>
      <c r="J16" s="47"/>
      <c r="K16" s="634">
        <f>+IFERROR(IF(COUNT(H16:J16),ROUND(SUM(H16:J16),0),""),"")</f>
        <v>12000</v>
      </c>
      <c r="L16" s="51">
        <f>+IFERROR(IF(COUNT(K16),ROUND(K16/'Shareholding Pattern'!$L$78*100,2),""),"")</f>
        <v>1</v>
      </c>
      <c r="M16" s="203">
        <f>IF(H16="","",H16)</f>
        <v>12000</v>
      </c>
      <c r="N16" s="203"/>
      <c r="O16" s="266">
        <f>+IFERROR(IF(COUNT(M16:N16),ROUND(SUM(M16,N16),2),""),"")</f>
        <v>12000</v>
      </c>
      <c r="P16" s="51">
        <f>+IFERROR(IF(COUNT(O16),ROUND(O16/('Shareholding Pattern'!$P$79)*100,2),""),"")</f>
        <v>1</v>
      </c>
      <c r="Q16" s="47"/>
      <c r="R16" s="47"/>
      <c r="S16" s="634" t="str">
        <f>+IFERROR(IF(COUNT(Q16:R16),ROUND(SUM(Q16:R16),0),""),"")</f>
        <v/>
      </c>
      <c r="T16" s="17">
        <f>+IFERROR(IF(COUNT(K16,S16),ROUND(SUM(S16,K16)/SUM('Shareholding Pattern'!$L$78,'Shareholding Pattern'!$T$78)*100,2),""),"")</f>
        <v>1</v>
      </c>
      <c r="U16" s="47"/>
      <c r="V16" s="17" t="str">
        <f>+IFERROR(IF(COUNT(U16),ROUND(SUM(U16)/SUM(K16)*100,2),""),0)</f>
        <v/>
      </c>
      <c r="W16" s="47">
        <v>12000</v>
      </c>
      <c r="X16" s="265"/>
      <c r="Y16" s="47">
        <v>0</v>
      </c>
      <c r="Z16" s="47">
        <v>0</v>
      </c>
      <c r="AA16" s="47">
        <v>0</v>
      </c>
      <c r="AB16" s="11"/>
      <c r="AC16" s="11" t="e">
        <f>SUM(#REF!)</f>
        <v>#REF!</v>
      </c>
    </row>
    <row r="17" spans="5:27" hidden="1">
      <c r="E17" s="12"/>
      <c r="F17" s="13"/>
      <c r="G17" s="13"/>
      <c r="H17" s="13"/>
      <c r="I17" s="13"/>
      <c r="J17" s="13"/>
      <c r="K17" s="13"/>
      <c r="L17" s="13"/>
      <c r="M17" s="13"/>
      <c r="N17" s="13"/>
      <c r="O17" s="13"/>
      <c r="P17" s="13"/>
      <c r="Q17" s="13"/>
      <c r="R17" s="13"/>
      <c r="S17" s="13"/>
      <c r="T17" s="13"/>
      <c r="U17" s="13"/>
      <c r="V17" s="13"/>
      <c r="W17" s="55"/>
      <c r="X17" s="55"/>
      <c r="Y17" s="55"/>
      <c r="Z17" s="55"/>
      <c r="AA17" s="194"/>
    </row>
    <row r="18" spans="5:27" ht="20.100000000000001" customHeight="1">
      <c r="E18" s="37"/>
      <c r="F18" s="83" t="s">
        <v>392</v>
      </c>
      <c r="G18" s="70" t="s">
        <v>19</v>
      </c>
      <c r="H18" s="53">
        <f>+IFERROR(IF(COUNT(H13:H17),ROUND(SUM(H13:H17),0),""),"")</f>
        <v>24000</v>
      </c>
      <c r="I18" s="53" t="str">
        <f>+IFERROR(IF(COUNT(I13:I17),ROUND(SUM(I13:I17),0),""),"")</f>
        <v/>
      </c>
      <c r="J18" s="53" t="str">
        <f>+IFERROR(IF(COUNT(J13:J17),ROUND(SUM(J13:J17),0),""),"")</f>
        <v/>
      </c>
      <c r="K18" s="53">
        <f>+IFERROR(IF(COUNT(K13:K17),ROUND(SUM(K13:K17),0),""),"")</f>
        <v>24000</v>
      </c>
      <c r="L18" s="17">
        <f>+IFERROR(IF(COUNT(K18),ROUND(K18/'Shareholding Pattern'!$L$78*100,2),""),"")</f>
        <v>2</v>
      </c>
      <c r="M18" s="35">
        <f>+IFERROR(IF(COUNT(M13:M17),ROUND(SUM(M13:M17),0),""),"")</f>
        <v>24000</v>
      </c>
      <c r="N18" s="35" t="str">
        <f>+IFERROR(IF(COUNT(N13:N17),ROUND(SUM(N13:N17),0),""),"")</f>
        <v/>
      </c>
      <c r="O18" s="35">
        <f>+IFERROR(IF(COUNT(O13:O17),ROUND(SUM(O13:O17),0),""),"")</f>
        <v>24000</v>
      </c>
      <c r="P18" s="17">
        <f>+IFERROR(IF(COUNT(O18),ROUND(O18/('Shareholding Pattern'!$P$79)*100,2),""),"")</f>
        <v>2</v>
      </c>
      <c r="Q18" s="53" t="str">
        <f>+IFERROR(IF(COUNT(Q13:Q17),ROUND(SUM(Q13:Q17),0),""),"")</f>
        <v/>
      </c>
      <c r="R18" s="53" t="str">
        <f>+IFERROR(IF(COUNT(R13:R17),ROUND(SUM(R13:R17),0),""),"")</f>
        <v/>
      </c>
      <c r="S18" s="53" t="str">
        <f>+IFERROR(IF(COUNT(S13:S17),ROUND(SUM(S13:S17),0),""),"")</f>
        <v/>
      </c>
      <c r="T18" s="17">
        <f>+IFERROR(IF(COUNT(K18,S18),ROUND(SUM(S18,K18)/SUM('Shareholding Pattern'!$L$78,'Shareholding Pattern'!$T$78)*100,2),""),"")</f>
        <v>2</v>
      </c>
      <c r="U18" s="53" t="str">
        <f>+IFERROR(IF(COUNT(U13:U17),ROUND(SUM(U13:U17),0),""),"")</f>
        <v/>
      </c>
      <c r="V18" s="17" t="str">
        <f>+IFERROR(IF(COUNT(U18),ROUND(SUM(U18)/SUM(K18)*100,2),""),0)</f>
        <v/>
      </c>
      <c r="W18" s="53">
        <f>+IFERROR(IF(COUNT(W13:W17),ROUND(SUM(W13:W17),0),""),"")</f>
        <v>24000</v>
      </c>
      <c r="X18" s="406"/>
      <c r="Y18" s="53">
        <f>+IFERROR(IF(COUNT(Y13:Y17),ROUND(SUM(Y13:Y17),0),""),"")</f>
        <v>0</v>
      </c>
      <c r="Z18" s="53">
        <f>+IFERROR(IF(COUNT(Z13:Z17),ROUND(SUM(Z13:Z17),0),""),"")</f>
        <v>0</v>
      </c>
      <c r="AA18" s="53">
        <f>+IFERROR(IF(COUNT(AA13:AA17),ROUND(SUM(AA13:AA17),0),""),"")</f>
        <v>0</v>
      </c>
    </row>
  </sheetData>
  <sheetProtection algorithmName="SHA-512" hashValue="dOOedeaPrkvCNiGYUkqDzd/Iom2Hh/itM1yHr7F2ZfLtvCaqZ521nu/W/I3V5W+c+m/wVwcLo0bEpSrUMHRq0g==" saltValue="oL8bhxgQBnxhBvSn7BA8dQ=="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U15:U16">
      <formula1>H13</formula1>
    </dataValidation>
    <dataValidation type="whole" operator="lessThanOrEqual" allowBlank="1" showInputMessage="1" showErrorMessage="1" sqref="W13 W15:W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Q13:R13 M13:N13 H13:J13 M15:N16 H15:J16 Q15:R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6">
      <formula1>K13</formula1>
    </dataValidation>
  </dataValidations>
  <hyperlinks>
    <hyperlink ref="G18" location="'Shareholding Pattern'!F43" display="Total"/>
    <hyperlink ref="F18" location="'Shareholding Pattern'!F63"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46082"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22"/>
  <sheetViews>
    <sheetView showGridLines="0" topLeftCell="A10" zoomScale="90" zoomScaleNormal="90" workbookViewId="0">
      <selection activeCell="F22" sqref="F22"/>
    </sheetView>
  </sheetViews>
  <sheetFormatPr defaultColWidth="0" defaultRowHeight="15"/>
  <cols>
    <col min="1" max="1" width="2" customWidth="1"/>
    <col min="2" max="2" width="1.5703125" customWidth="1"/>
    <col min="3" max="3" width="1.7109375" customWidth="1"/>
    <col min="4" max="4" width="2.28515625" customWidth="1"/>
    <col min="5" max="5" width="9.57031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42578125" customWidth="1"/>
    <col min="29" max="16383" width="5.42578125" hidden="1"/>
    <col min="16384" max="16384" width="2.42578125" hidden="1"/>
  </cols>
  <sheetData>
    <row r="1" spans="5:29" hidden="1">
      <c r="I1">
        <v>6</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99" t="s">
        <v>710</v>
      </c>
      <c r="Z11" s="399" t="s">
        <v>711</v>
      </c>
      <c r="AA11" s="399" t="s">
        <v>712</v>
      </c>
    </row>
    <row r="12" spans="5:29" s="8" customFormat="1" ht="20.100000000000001"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637" t="s">
        <v>873</v>
      </c>
      <c r="G15" s="636" t="s">
        <v>874</v>
      </c>
      <c r="H15" s="47">
        <v>24000</v>
      </c>
      <c r="I15" s="47"/>
      <c r="J15" s="47"/>
      <c r="K15" s="634">
        <f t="shared" ref="K15:K20" si="0">+IFERROR(IF(COUNT(H15:J15),ROUND(SUM(H15:J15),0),""),"")</f>
        <v>24000</v>
      </c>
      <c r="L15" s="51">
        <f>+IFERROR(IF(COUNT(K15),ROUND(K15/'Shareholding Pattern'!$L$78*100,2),""),"")</f>
        <v>2</v>
      </c>
      <c r="M15" s="203">
        <f t="shared" ref="M15:M20" si="1">IF(H15="","",H15)</f>
        <v>24000</v>
      </c>
      <c r="N15" s="203"/>
      <c r="O15" s="266">
        <f t="shared" ref="O15:O20" si="2">+IFERROR(IF(COUNT(M15:N15),ROUND(SUM(M15,N15),2),""),"")</f>
        <v>24000</v>
      </c>
      <c r="P15" s="51">
        <f>+IFERROR(IF(COUNT(O15),ROUND(O15/('Shareholding Pattern'!$P$79)*100,2),""),"")</f>
        <v>2</v>
      </c>
      <c r="Q15" s="47"/>
      <c r="R15" s="47"/>
      <c r="S15" s="634" t="str">
        <f t="shared" ref="S15:S20" si="3">+IFERROR(IF(COUNT(Q15:R15),ROUND(SUM(Q15:R15),0),""),"")</f>
        <v/>
      </c>
      <c r="T15" s="17">
        <f>+IFERROR(IF(COUNT(K15,S15),ROUND(SUM(S15,K15)/SUM('Shareholding Pattern'!$L$78,'Shareholding Pattern'!$T$78)*100,2),""),"")</f>
        <v>2</v>
      </c>
      <c r="U15" s="47"/>
      <c r="V15" s="17" t="str">
        <f t="shared" ref="V15:V20" si="4">+IFERROR(IF(COUNT(U15),ROUND(SUM(U15)/SUM(K15)*100,2),""),0)</f>
        <v/>
      </c>
      <c r="W15" s="47">
        <v>24000</v>
      </c>
      <c r="X15" s="265"/>
      <c r="Y15" s="47">
        <v>0</v>
      </c>
      <c r="Z15" s="47">
        <v>0</v>
      </c>
      <c r="AA15" s="47">
        <v>0</v>
      </c>
      <c r="AB15" s="11"/>
      <c r="AC15" s="11" t="e">
        <f>SUM(#REF!)</f>
        <v>#REF!</v>
      </c>
    </row>
    <row r="16" spans="5:29" ht="24.95" customHeight="1">
      <c r="E16" s="191">
        <v>2</v>
      </c>
      <c r="F16" s="637" t="s">
        <v>875</v>
      </c>
      <c r="G16" s="636" t="s">
        <v>876</v>
      </c>
      <c r="H16" s="47">
        <v>36000</v>
      </c>
      <c r="I16" s="47"/>
      <c r="J16" s="47"/>
      <c r="K16" s="634">
        <f t="shared" si="0"/>
        <v>36000</v>
      </c>
      <c r="L16" s="51">
        <f>+IFERROR(IF(COUNT(K16),ROUND(K16/'Shareholding Pattern'!$L$78*100,2),""),"")</f>
        <v>3</v>
      </c>
      <c r="M16" s="203">
        <f t="shared" si="1"/>
        <v>36000</v>
      </c>
      <c r="N16" s="203"/>
      <c r="O16" s="266">
        <f t="shared" si="2"/>
        <v>36000</v>
      </c>
      <c r="P16" s="51">
        <f>+IFERROR(IF(COUNT(O16),ROUND(O16/('Shareholding Pattern'!$P$79)*100,2),""),"")</f>
        <v>3</v>
      </c>
      <c r="Q16" s="47"/>
      <c r="R16" s="47"/>
      <c r="S16" s="634" t="str">
        <f t="shared" si="3"/>
        <v/>
      </c>
      <c r="T16" s="17">
        <f>+IFERROR(IF(COUNT(K16,S16),ROUND(SUM(S16,K16)/SUM('Shareholding Pattern'!$L$78,'Shareholding Pattern'!$T$78)*100,2),""),"")</f>
        <v>3</v>
      </c>
      <c r="U16" s="47"/>
      <c r="V16" s="17" t="str">
        <f t="shared" si="4"/>
        <v/>
      </c>
      <c r="W16" s="47">
        <v>36000</v>
      </c>
      <c r="X16" s="265"/>
      <c r="Y16" s="47">
        <v>0</v>
      </c>
      <c r="Z16" s="47">
        <v>0</v>
      </c>
      <c r="AA16" s="47">
        <v>0</v>
      </c>
      <c r="AB16" s="11"/>
      <c r="AC16" s="11" t="e">
        <f>SUM(#REF!)</f>
        <v>#REF!</v>
      </c>
    </row>
    <row r="17" spans="5:29" ht="24.95" customHeight="1">
      <c r="E17" s="191">
        <v>3</v>
      </c>
      <c r="F17" s="637" t="s">
        <v>888</v>
      </c>
      <c r="G17" s="636" t="s">
        <v>877</v>
      </c>
      <c r="H17" s="47">
        <v>36000</v>
      </c>
      <c r="I17" s="47"/>
      <c r="J17" s="47"/>
      <c r="K17" s="634">
        <f t="shared" si="0"/>
        <v>36000</v>
      </c>
      <c r="L17" s="51">
        <f>+IFERROR(IF(COUNT(K17),ROUND(K17/'Shareholding Pattern'!$L$78*100,2),""),"")</f>
        <v>3</v>
      </c>
      <c r="M17" s="203">
        <f t="shared" si="1"/>
        <v>36000</v>
      </c>
      <c r="N17" s="203"/>
      <c r="O17" s="266">
        <f t="shared" si="2"/>
        <v>36000</v>
      </c>
      <c r="P17" s="51">
        <f>+IFERROR(IF(COUNT(O17),ROUND(O17/('Shareholding Pattern'!$P$79)*100,2),""),"")</f>
        <v>3</v>
      </c>
      <c r="Q17" s="47"/>
      <c r="R17" s="47"/>
      <c r="S17" s="634" t="str">
        <f t="shared" si="3"/>
        <v/>
      </c>
      <c r="T17" s="17">
        <f>+IFERROR(IF(COUNT(K17,S17),ROUND(SUM(S17,K17)/SUM('Shareholding Pattern'!$L$78,'Shareholding Pattern'!$T$78)*100,2),""),"")</f>
        <v>3</v>
      </c>
      <c r="U17" s="47"/>
      <c r="V17" s="17" t="str">
        <f t="shared" si="4"/>
        <v/>
      </c>
      <c r="W17" s="47">
        <v>36000</v>
      </c>
      <c r="X17" s="265"/>
      <c r="Y17" s="47">
        <v>0</v>
      </c>
      <c r="Z17" s="47">
        <v>0</v>
      </c>
      <c r="AA17" s="47">
        <v>0</v>
      </c>
      <c r="AB17" s="11"/>
      <c r="AC17" s="11" t="e">
        <f>SUM(#REF!)</f>
        <v>#REF!</v>
      </c>
    </row>
    <row r="18" spans="5:29" ht="24.95" customHeight="1">
      <c r="E18" s="191">
        <v>4</v>
      </c>
      <c r="F18" s="637" t="s">
        <v>878</v>
      </c>
      <c r="G18" s="636" t="s">
        <v>879</v>
      </c>
      <c r="H18" s="47">
        <v>48000</v>
      </c>
      <c r="I18" s="47"/>
      <c r="J18" s="47"/>
      <c r="K18" s="634">
        <f t="shared" si="0"/>
        <v>48000</v>
      </c>
      <c r="L18" s="51">
        <f>+IFERROR(IF(COUNT(K18),ROUND(K18/'Shareholding Pattern'!$L$78*100,2),""),"")</f>
        <v>4</v>
      </c>
      <c r="M18" s="203">
        <f t="shared" si="1"/>
        <v>48000</v>
      </c>
      <c r="N18" s="203"/>
      <c r="O18" s="266">
        <f t="shared" si="2"/>
        <v>48000</v>
      </c>
      <c r="P18" s="51">
        <f>+IFERROR(IF(COUNT(O18),ROUND(O18/('Shareholding Pattern'!$P$79)*100,2),""),"")</f>
        <v>4</v>
      </c>
      <c r="Q18" s="47"/>
      <c r="R18" s="47"/>
      <c r="S18" s="634" t="str">
        <f t="shared" si="3"/>
        <v/>
      </c>
      <c r="T18" s="17">
        <f>+IFERROR(IF(COUNT(K18,S18),ROUND(SUM(S18,K18)/SUM('Shareholding Pattern'!$L$78,'Shareholding Pattern'!$T$78)*100,2),""),"")</f>
        <v>4</v>
      </c>
      <c r="U18" s="47"/>
      <c r="V18" s="17" t="str">
        <f t="shared" si="4"/>
        <v/>
      </c>
      <c r="W18" s="47">
        <v>48000</v>
      </c>
      <c r="X18" s="265"/>
      <c r="Y18" s="47">
        <v>0</v>
      </c>
      <c r="Z18" s="47">
        <v>0</v>
      </c>
      <c r="AA18" s="47">
        <v>0</v>
      </c>
      <c r="AB18" s="11"/>
      <c r="AC18" s="11" t="e">
        <f>SUM(#REF!)</f>
        <v>#REF!</v>
      </c>
    </row>
    <row r="19" spans="5:29" ht="24.95" customHeight="1">
      <c r="E19" s="191">
        <v>5</v>
      </c>
      <c r="F19" s="637" t="s">
        <v>880</v>
      </c>
      <c r="G19" s="636" t="s">
        <v>881</v>
      </c>
      <c r="H19" s="47">
        <v>48000</v>
      </c>
      <c r="I19" s="47"/>
      <c r="J19" s="47"/>
      <c r="K19" s="634">
        <f t="shared" si="0"/>
        <v>48000</v>
      </c>
      <c r="L19" s="51">
        <f>+IFERROR(IF(COUNT(K19),ROUND(K19/'Shareholding Pattern'!$L$78*100,2),""),"")</f>
        <v>4</v>
      </c>
      <c r="M19" s="203">
        <f t="shared" si="1"/>
        <v>48000</v>
      </c>
      <c r="N19" s="203"/>
      <c r="O19" s="266">
        <f t="shared" si="2"/>
        <v>48000</v>
      </c>
      <c r="P19" s="51">
        <f>+IFERROR(IF(COUNT(O19),ROUND(O19/('Shareholding Pattern'!$P$79)*100,2),""),"")</f>
        <v>4</v>
      </c>
      <c r="Q19" s="47"/>
      <c r="R19" s="47"/>
      <c r="S19" s="634" t="str">
        <f t="shared" si="3"/>
        <v/>
      </c>
      <c r="T19" s="17">
        <f>+IFERROR(IF(COUNT(K19,S19),ROUND(SUM(S19,K19)/SUM('Shareholding Pattern'!$L$78,'Shareholding Pattern'!$T$78)*100,2),""),"")</f>
        <v>4</v>
      </c>
      <c r="U19" s="47"/>
      <c r="V19" s="17" t="str">
        <f t="shared" si="4"/>
        <v/>
      </c>
      <c r="W19" s="47">
        <v>48000</v>
      </c>
      <c r="X19" s="265"/>
      <c r="Y19" s="47">
        <v>0</v>
      </c>
      <c r="Z19" s="47">
        <v>0</v>
      </c>
      <c r="AA19" s="47">
        <v>0</v>
      </c>
      <c r="AB19" s="11"/>
      <c r="AC19" s="11" t="e">
        <f>SUM(#REF!)</f>
        <v>#REF!</v>
      </c>
    </row>
    <row r="20" spans="5:29" ht="24.95" customHeight="1">
      <c r="E20" s="191">
        <v>6</v>
      </c>
      <c r="F20" s="637" t="s">
        <v>882</v>
      </c>
      <c r="G20" s="636" t="s">
        <v>883</v>
      </c>
      <c r="H20" s="47">
        <v>60000</v>
      </c>
      <c r="I20" s="47"/>
      <c r="J20" s="47"/>
      <c r="K20" s="634">
        <f t="shared" si="0"/>
        <v>60000</v>
      </c>
      <c r="L20" s="51">
        <f>+IFERROR(IF(COUNT(K20),ROUND(K20/'Shareholding Pattern'!$L$78*100,2),""),"")</f>
        <v>5</v>
      </c>
      <c r="M20" s="203">
        <f t="shared" si="1"/>
        <v>60000</v>
      </c>
      <c r="N20" s="203"/>
      <c r="O20" s="266">
        <f t="shared" si="2"/>
        <v>60000</v>
      </c>
      <c r="P20" s="51">
        <f>+IFERROR(IF(COUNT(O20),ROUND(O20/('Shareholding Pattern'!$P$79)*100,2),""),"")</f>
        <v>5</v>
      </c>
      <c r="Q20" s="47"/>
      <c r="R20" s="47"/>
      <c r="S20" s="634" t="str">
        <f t="shared" si="3"/>
        <v/>
      </c>
      <c r="T20" s="17">
        <f>+IFERROR(IF(COUNT(K20,S20),ROUND(SUM(S20,K20)/SUM('Shareholding Pattern'!$L$78,'Shareholding Pattern'!$T$78)*100,2),""),"")</f>
        <v>5</v>
      </c>
      <c r="U20" s="47"/>
      <c r="V20" s="17" t="str">
        <f t="shared" si="4"/>
        <v/>
      </c>
      <c r="W20" s="47">
        <v>60000</v>
      </c>
      <c r="X20" s="265"/>
      <c r="Y20" s="47">
        <v>0</v>
      </c>
      <c r="Z20" s="47">
        <v>0</v>
      </c>
      <c r="AA20" s="47">
        <v>0</v>
      </c>
      <c r="AB20" s="11"/>
      <c r="AC20" s="11" t="e">
        <f>SUM(#REF!)</f>
        <v>#REF!</v>
      </c>
    </row>
    <row r="21" spans="5:29" hidden="1">
      <c r="E21" s="12"/>
      <c r="F21" s="13"/>
      <c r="G21" s="13"/>
      <c r="H21" s="13"/>
      <c r="I21" s="13"/>
      <c r="J21" s="13"/>
      <c r="K21" s="13"/>
      <c r="L21" s="13"/>
      <c r="M21" s="13"/>
      <c r="N21" s="13"/>
      <c r="O21" s="13"/>
      <c r="P21" s="13"/>
      <c r="Q21" s="13"/>
      <c r="R21" s="13"/>
      <c r="S21" s="13"/>
      <c r="T21" s="13"/>
      <c r="U21" s="13"/>
      <c r="V21" s="13"/>
      <c r="W21" s="55"/>
      <c r="X21" s="55"/>
      <c r="Y21" s="55"/>
      <c r="Z21" s="55"/>
      <c r="AA21" s="194"/>
    </row>
    <row r="22" spans="5:29" ht="20.100000000000001" customHeight="1">
      <c r="E22" s="37"/>
      <c r="F22" s="83" t="s">
        <v>392</v>
      </c>
      <c r="G22" s="70" t="s">
        <v>19</v>
      </c>
      <c r="H22" s="53">
        <f>+IFERROR(IF(COUNT(H14:H21),ROUND(SUM(H14:H21),0),""),"")</f>
        <v>252000</v>
      </c>
      <c r="I22" s="53" t="str">
        <f>+IFERROR(IF(COUNT(I14:I21),ROUND(SUM(I14:I21),0),""),"")</f>
        <v/>
      </c>
      <c r="J22" s="53" t="str">
        <f>+IFERROR(IF(COUNT(J14:J21),ROUND(SUM(J14:J21),0),""),"")</f>
        <v/>
      </c>
      <c r="K22" s="53">
        <f>+IFERROR(IF(COUNT(K14:K21),ROUND(SUM(K14:K21),0),""),"")</f>
        <v>252000</v>
      </c>
      <c r="L22" s="17">
        <f>+IFERROR(IF(COUNT(K22),ROUND(K22/'Shareholding Pattern'!$L$78*100,2),""),"")</f>
        <v>21</v>
      </c>
      <c r="M22" s="35">
        <f>+IFERROR(IF(COUNT(M14:M21),ROUND(SUM(M14:M21),0),""),"")</f>
        <v>252000</v>
      </c>
      <c r="N22" s="35" t="str">
        <f>+IFERROR(IF(COUNT(N14:N21),ROUND(SUM(N14:N21),0),""),"")</f>
        <v/>
      </c>
      <c r="O22" s="35">
        <f>+IFERROR(IF(COUNT(O14:O21),ROUND(SUM(O14:O21),0),""),"")</f>
        <v>252000</v>
      </c>
      <c r="P22" s="17">
        <f>+IFERROR(IF(COUNT(O22),ROUND(O22/('Shareholding Pattern'!$P$79)*100,2),""),"")</f>
        <v>21</v>
      </c>
      <c r="Q22" s="53" t="str">
        <f>+IFERROR(IF(COUNT(Q14:Q21),ROUND(SUM(Q14:Q21),0),""),"")</f>
        <v/>
      </c>
      <c r="R22" s="53" t="str">
        <f>+IFERROR(IF(COUNT(R14:R21),ROUND(SUM(R14:R21),0),""),"")</f>
        <v/>
      </c>
      <c r="S22" s="53" t="str">
        <f>+IFERROR(IF(COUNT(S14:S21),ROUND(SUM(S14:S21),0),""),"")</f>
        <v/>
      </c>
      <c r="T22" s="17">
        <f>+IFERROR(IF(COUNT(K22,S22),ROUND(SUM(S22,K22)/SUM('Shareholding Pattern'!$L$78,'Shareholding Pattern'!$T$78)*100,2),""),"")</f>
        <v>21</v>
      </c>
      <c r="U22" s="53" t="str">
        <f>+IFERROR(IF(COUNT(U14:U21),ROUND(SUM(U14:U21),0),""),"")</f>
        <v/>
      </c>
      <c r="V22" s="17" t="str">
        <f>+IFERROR(IF(COUNT(U22),ROUND(SUM(U22)/SUM(K22)*100,2),""),0)</f>
        <v/>
      </c>
      <c r="W22" s="53">
        <f>+IFERROR(IF(COUNT(W14:W21),ROUND(SUM(W14:W21),0),""),"")</f>
        <v>252000</v>
      </c>
      <c r="X22" s="406"/>
      <c r="Y22" s="53">
        <f>+IFERROR(IF(COUNT(Y14:Y21),ROUND(SUM(Y14:Y21),0),""),"")</f>
        <v>0</v>
      </c>
      <c r="Z22" s="53">
        <f>+IFERROR(IF(COUNT(Z14:Z21),ROUND(SUM(Z14:Z21),0),""),"")</f>
        <v>0</v>
      </c>
      <c r="AA22" s="53">
        <f>+IFERROR(IF(COUNT(AA14:AA21),ROUND(SUM(AA14:AA21),0),""),"")</f>
        <v>0</v>
      </c>
    </row>
  </sheetData>
  <sheetProtection algorithmName="SHA-512" hashValue="FEiTDs8Pbkagy7CwLPCbc40QGn/tDVbLUAbp1eLinFswp7s6qWOVHF3NrYt5SnCu8hYN/gXFeJCzHkPtMsD6qA==" saltValue="4qyJKHmZZDOUDw9OZI+0hg==" spinCount="100000" sheet="1" objects="1" scenarios="1"/>
  <dataConsolidate/>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U15:U20">
      <formula1>H13</formula1>
    </dataValidation>
    <dataValidation type="whole" operator="lessThanOrEqual" allowBlank="1" showInputMessage="1" showErrorMessage="1" sqref="W13 W15:W20">
      <formula1>K13</formula1>
    </dataValidation>
    <dataValidation type="textLength" operator="equal" allowBlank="1" showInputMessage="1" showErrorMessage="1" prompt="[A-Z][A-Z][A-Z][A-Z][A-Z][0-9][0-9][0-9][0-9][A-Z]_x000a__x000a_In absence of PAN write : ZZZZZ9999Z" sqref="G13 G15:G20">
      <formula1>10</formula1>
    </dataValidation>
    <dataValidation type="whole" operator="greaterThanOrEqual" allowBlank="1" showInputMessage="1" showErrorMessage="1" sqref="Q13:R13 M13:N13 H13:J13 H15:J20 Q15:R20 M15:N20">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20">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20">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20">
      <formula1>K13</formula1>
    </dataValidation>
  </dataValidations>
  <hyperlinks>
    <hyperlink ref="G22" location="'Shareholding Pattern'!F44" display="Total"/>
    <hyperlink ref="F22"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mc:AlternateContent xmlns:mc="http://schemas.openxmlformats.org/markup-compatibility/2006">
          <mc:Choice Requires="x14">
            <control shapeId="47107" r:id="rId5" name="Button 3">
              <controlPr defaultSize="0" print="0" autoFill="0" autoPict="0" macro="[0]!opentextblock">
                <anchor moveWithCells="1" sizeWithCells="1">
                  <from>
                    <xdr:col>23</xdr:col>
                    <xdr:colOff>66675</xdr:colOff>
                    <xdr:row>16</xdr:row>
                    <xdr:rowOff>66675</xdr:rowOff>
                  </from>
                  <to>
                    <xdr:col>23</xdr:col>
                    <xdr:colOff>1314450</xdr:colOff>
                    <xdr:row>16</xdr:row>
                    <xdr:rowOff>266700</xdr:rowOff>
                  </to>
                </anchor>
              </controlPr>
            </control>
          </mc:Choice>
        </mc:AlternateContent>
        <mc:AlternateContent xmlns:mc="http://schemas.openxmlformats.org/markup-compatibility/2006">
          <mc:Choice Requires="x14">
            <control shapeId="47108" r:id="rId6" name="Button 4">
              <controlPr defaultSize="0" print="0" autoFill="0" autoPict="0" macro="[0]!opentextblock">
                <anchor moveWithCells="1" sizeWithCells="1">
                  <from>
                    <xdr:col>23</xdr:col>
                    <xdr:colOff>66675</xdr:colOff>
                    <xdr:row>17</xdr:row>
                    <xdr:rowOff>66675</xdr:rowOff>
                  </from>
                  <to>
                    <xdr:col>23</xdr:col>
                    <xdr:colOff>1314450</xdr:colOff>
                    <xdr:row>17</xdr:row>
                    <xdr:rowOff>266700</xdr:rowOff>
                  </to>
                </anchor>
              </controlPr>
            </control>
          </mc:Choice>
        </mc:AlternateContent>
        <mc:AlternateContent xmlns:mc="http://schemas.openxmlformats.org/markup-compatibility/2006">
          <mc:Choice Requires="x14">
            <control shapeId="47109" r:id="rId7" name="Button 5">
              <controlPr defaultSize="0" print="0" autoFill="0" autoPict="0" macro="[0]!opentextblock">
                <anchor moveWithCells="1" sizeWithCells="1">
                  <from>
                    <xdr:col>23</xdr:col>
                    <xdr:colOff>66675</xdr:colOff>
                    <xdr:row>18</xdr:row>
                    <xdr:rowOff>66675</xdr:rowOff>
                  </from>
                  <to>
                    <xdr:col>23</xdr:col>
                    <xdr:colOff>1314450</xdr:colOff>
                    <xdr:row>18</xdr:row>
                    <xdr:rowOff>266700</xdr:rowOff>
                  </to>
                </anchor>
              </controlPr>
            </control>
          </mc:Choice>
        </mc:AlternateContent>
        <mc:AlternateContent xmlns:mc="http://schemas.openxmlformats.org/markup-compatibility/2006">
          <mc:Choice Requires="x14">
            <control shapeId="47110" r:id="rId8" name="Button 6">
              <controlPr defaultSize="0" print="0" autoFill="0" autoPict="0" macro="[0]!opentextblock">
                <anchor moveWithCells="1" sizeWithCells="1">
                  <from>
                    <xdr:col>23</xdr:col>
                    <xdr:colOff>66675</xdr:colOff>
                    <xdr:row>19</xdr:row>
                    <xdr:rowOff>66675</xdr:rowOff>
                  </from>
                  <to>
                    <xdr:col>23</xdr:col>
                    <xdr:colOff>1314450</xdr:colOff>
                    <xdr:row>19</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5703125" customWidth="1"/>
    <col min="29" max="16383" width="4.85546875" hidden="1"/>
    <col min="16384" max="16384" width="4.57031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30"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30"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99" t="s">
        <v>710</v>
      </c>
      <c r="Z11" s="399" t="s">
        <v>711</v>
      </c>
      <c r="AA11" s="399" t="s">
        <v>712</v>
      </c>
    </row>
    <row r="12" spans="5:30" s="8" customFormat="1" ht="20.100000000000001"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6"/>
      <c r="Y16" s="53" t="str">
        <f>+IFERROR(IF(COUNT(Y13:Y15),ROUND(SUM(Y13:Y15),0),""),"")</f>
        <v/>
      </c>
      <c r="Z16" s="53" t="str">
        <f>+IFERROR(IF(COUNT(Z13:Z15),ROUND(SUM(Z13:Z15),0),""),"")</f>
        <v/>
      </c>
      <c r="AA16" s="53" t="str">
        <f>+IFERROR(IF(COUNT(AA13:AA15),ROUND(SUM(AA13:AA15),0),""),"")</f>
        <v/>
      </c>
    </row>
  </sheetData>
  <sheetProtection algorithmName="SHA-512" hashValue="jlbqQOkzdcVFxgPPJnaZLXyqebLFgJHBxN9Jr+o7El/ILs/sjRPgZrbCILmQTT2b8Aq6LPtb1jySDckqdpNSLg==" saltValue="IugifS8DzgoadpKylzZzjQ=="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row>
    <row r="10" spans="5:30"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row>
    <row r="11" spans="5:30"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4.95" customHeight="1">
      <c r="E14" s="42"/>
      <c r="F14" s="43"/>
      <c r="G14" s="247" t="s">
        <v>436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algorithmName="SHA-512" hashValue="ZvXnTElosPcdiYu7iZNYKG7zeV0hjIozgqkkB3PKukLCvWvkJl1uZIDDOFEwDgy4bfs8x2xwji4mHJVsfwJqdA==" saltValue="OIcFoNyskbtWVEZyzRjgcA==" spinCount="100000" sheet="1" objects="1" scenarios="1"/>
  <mergeCells count="18">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9.140625" customWidth="1"/>
    <col min="29" max="16383" width="3.7109375" hidden="1"/>
    <col min="16384" max="16384" width="9.1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599" t="s">
        <v>119</v>
      </c>
      <c r="F9" s="551" t="s">
        <v>118</v>
      </c>
      <c r="G9" s="551" t="s">
        <v>1</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c r="Y9" s="587" t="s">
        <v>708</v>
      </c>
      <c r="Z9" s="588"/>
      <c r="AA9" s="589"/>
    </row>
    <row r="10" spans="5:29" ht="31.5" customHeight="1">
      <c r="E10" s="597"/>
      <c r="F10" s="551"/>
      <c r="G10" s="551"/>
      <c r="H10" s="551"/>
      <c r="I10" s="551"/>
      <c r="J10" s="551"/>
      <c r="K10" s="551"/>
      <c r="L10" s="551"/>
      <c r="M10" s="551" t="s">
        <v>15</v>
      </c>
      <c r="N10" s="551"/>
      <c r="O10" s="551"/>
      <c r="P10" s="551" t="s">
        <v>16</v>
      </c>
      <c r="Q10" s="551"/>
      <c r="R10" s="597"/>
      <c r="S10" s="597"/>
      <c r="T10" s="551"/>
      <c r="U10" s="551"/>
      <c r="V10" s="551"/>
      <c r="W10" s="551"/>
      <c r="X10" s="551"/>
      <c r="Y10" s="518" t="s">
        <v>709</v>
      </c>
      <c r="Z10" s="519"/>
      <c r="AA10" s="520"/>
    </row>
    <row r="11" spans="5:29" ht="78.75" customHeight="1">
      <c r="E11" s="598"/>
      <c r="F11" s="551"/>
      <c r="G11" s="551"/>
      <c r="H11" s="551"/>
      <c r="I11" s="551"/>
      <c r="J11" s="551"/>
      <c r="K11" s="551"/>
      <c r="L11" s="551"/>
      <c r="M11" s="40" t="s">
        <v>17</v>
      </c>
      <c r="N11" s="40" t="s">
        <v>18</v>
      </c>
      <c r="O11" s="40" t="s">
        <v>19</v>
      </c>
      <c r="P11" s="551"/>
      <c r="Q11" s="551"/>
      <c r="R11" s="598"/>
      <c r="S11" s="598"/>
      <c r="T11" s="551"/>
      <c r="U11" s="40" t="s">
        <v>20</v>
      </c>
      <c r="V11" s="40" t="s">
        <v>21</v>
      </c>
      <c r="W11" s="551"/>
      <c r="X11" s="551"/>
      <c r="Y11" s="399" t="s">
        <v>710</v>
      </c>
      <c r="Z11" s="399" t="s">
        <v>711</v>
      </c>
      <c r="AA11" s="399" t="s">
        <v>712</v>
      </c>
    </row>
    <row r="12" spans="5:29" ht="15.7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6"/>
      <c r="Y16" s="53" t="str">
        <f>+IFERROR(IF(COUNT(Y13:Y15),ROUND(SUM(Y13:Y15),0),""),"")</f>
        <v/>
      </c>
      <c r="Z16" s="53" t="str">
        <f>+IFERROR(IF(COUNT(Z13:Z15),ROUND(SUM(Z13:Z15),0),""),"")</f>
        <v/>
      </c>
      <c r="AA16" s="53" t="str">
        <f>+IFERROR(IF(COUNT(AA13:AA15),ROUND(SUM(AA13:AA15),0),""),"")</f>
        <v/>
      </c>
    </row>
  </sheetData>
  <sheetProtection algorithmName="SHA-512" hashValue="XeaQi35PPsmPptw+Ot9TbSO8Izz1W/0Nll8ao+Pm/OmjrayxzlFEvGKYEKcLr/SP5aYJBkDQJqb5F7Bl9wz2xg==" saltValue="ugDFBjNHlReUaMp/0RAm7g=="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0"/>
  <sheetViews>
    <sheetView showGridLines="0" topLeftCell="A7" zoomScale="70" zoomScaleNormal="70" workbookViewId="0">
      <selection activeCell="G17" sqref="G17"/>
    </sheetView>
  </sheetViews>
  <sheetFormatPr defaultColWidth="0" defaultRowHeight="15"/>
  <cols>
    <col min="1" max="1" width="2.28515625" customWidth="1"/>
    <col min="2" max="2" width="2.140625" customWidth="1"/>
    <col min="3" max="3" width="2" customWidth="1"/>
    <col min="4" max="4" width="7.140625" customWidth="1"/>
    <col min="5" max="5" width="42.85546875" customWidth="1"/>
    <col min="6" max="6" width="46.5703125" customWidth="1"/>
    <col min="7" max="7" width="40"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9" width="20.7109375" customWidth="1"/>
    <col min="30" max="31" width="1.85546875" customWidth="1"/>
    <col min="32" max="16383" width="2.5703125" hidden="1"/>
    <col min="16384" max="16384" width="1.85546875" hidden="1"/>
  </cols>
  <sheetData>
    <row r="1" spans="4:54" hidden="1">
      <c r="I1">
        <v>1</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+IFERROR(IF(COUNT(I13:I16),ROUND(SUMIF($F$13:I16,"Category",I13:I16),0),""),"")</f>
        <v>1</v>
      </c>
      <c r="J3">
        <f ca="1">+IFERROR(IF(COUNT(J13:J16),ROUND(SUMIF($F$13:J16,"Category",J13:J16),0),""),"")</f>
        <v>250</v>
      </c>
      <c r="K3" t="str">
        <f>+IFERROR(IF(COUNT(K13:K16),ROUND(SUMIF($F$13:K16,"Category",K13:K16),0),""),"")</f>
        <v/>
      </c>
      <c r="L3" t="str">
        <f>+IFERROR(IF(COUNT(L13:L16),ROUND(SUMIF($F$13:L16,"Category",L13:L16),0),""),"")</f>
        <v/>
      </c>
      <c r="M3">
        <f ca="1">+IFERROR(IF(COUNT(M13:M16),ROUND(SUMIF($F$13:M16,"Category",M13:M16),0),""),"")</f>
        <v>250</v>
      </c>
      <c r="N3">
        <f ca="1">+IFERROR(IF(COUNT(N13:N16),ROUND(SUMIF($F$13:N16,"Category",N13:N16),2),""),"")</f>
        <v>0.02</v>
      </c>
      <c r="O3">
        <f ca="1">+IFERROR(IF(COUNT(O13:O16),ROUND(SUMIF($F$13:O16,"Category",O13:O16),0),""),"")</f>
        <v>250</v>
      </c>
      <c r="P3" t="str">
        <f>+IFERROR(IF(COUNT(P13:P16),ROUND(SUMIF($F$13:P16,"Category",P13:P16),0),""),"")</f>
        <v/>
      </c>
      <c r="Q3">
        <f ca="1">+IFERROR(IF(COUNT(Q13:Q16),ROUND(SUMIF($F$13:Q16,"Category",Q13:Q16),0),""),"")</f>
        <v>250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99" t="s">
        <v>119</v>
      </c>
      <c r="E9" s="599" t="s">
        <v>34</v>
      </c>
      <c r="F9" s="599" t="s">
        <v>376</v>
      </c>
      <c r="G9" s="596" t="s">
        <v>118</v>
      </c>
      <c r="H9" s="551" t="s">
        <v>1</v>
      </c>
      <c r="I9" s="596" t="s">
        <v>368</v>
      </c>
      <c r="J9" s="551" t="s">
        <v>3</v>
      </c>
      <c r="K9" s="551" t="s">
        <v>4</v>
      </c>
      <c r="L9" s="551" t="s">
        <v>5</v>
      </c>
      <c r="M9" s="551" t="s">
        <v>6</v>
      </c>
      <c r="N9" s="551" t="s">
        <v>7</v>
      </c>
      <c r="O9" s="551" t="s">
        <v>8</v>
      </c>
      <c r="P9" s="551"/>
      <c r="Q9" s="551"/>
      <c r="R9" s="551"/>
      <c r="S9" s="551" t="s">
        <v>9</v>
      </c>
      <c r="T9" s="599" t="s">
        <v>447</v>
      </c>
      <c r="U9" s="599" t="s">
        <v>116</v>
      </c>
      <c r="V9" s="551" t="s">
        <v>89</v>
      </c>
      <c r="W9" s="551" t="s">
        <v>12</v>
      </c>
      <c r="X9" s="551"/>
      <c r="Y9" s="551" t="s">
        <v>14</v>
      </c>
      <c r="Z9" s="511" t="s">
        <v>441</v>
      </c>
      <c r="AA9" s="587" t="s">
        <v>708</v>
      </c>
      <c r="AB9" s="588"/>
      <c r="AC9" s="589"/>
      <c r="AV9" t="s">
        <v>34</v>
      </c>
    </row>
    <row r="10" spans="4:54" ht="31.5" customHeight="1">
      <c r="D10" s="597"/>
      <c r="E10" s="597"/>
      <c r="F10" s="597"/>
      <c r="G10" s="524"/>
      <c r="H10" s="551"/>
      <c r="I10" s="597"/>
      <c r="J10" s="551"/>
      <c r="K10" s="551"/>
      <c r="L10" s="551"/>
      <c r="M10" s="551"/>
      <c r="N10" s="551"/>
      <c r="O10" s="551" t="s">
        <v>15</v>
      </c>
      <c r="P10" s="551"/>
      <c r="Q10" s="551"/>
      <c r="R10" s="551" t="s">
        <v>16</v>
      </c>
      <c r="S10" s="551"/>
      <c r="T10" s="597"/>
      <c r="U10" s="597"/>
      <c r="V10" s="551"/>
      <c r="W10" s="551"/>
      <c r="X10" s="551"/>
      <c r="Y10" s="551"/>
      <c r="Z10" s="551"/>
      <c r="AA10" s="518" t="s">
        <v>709</v>
      </c>
      <c r="AB10" s="519"/>
      <c r="AC10" s="520"/>
      <c r="AV10" t="s">
        <v>379</v>
      </c>
    </row>
    <row r="11" spans="4:54" ht="45">
      <c r="D11" s="598"/>
      <c r="E11" s="598"/>
      <c r="F11" s="598"/>
      <c r="G11" s="510"/>
      <c r="H11" s="551"/>
      <c r="I11" s="598"/>
      <c r="J11" s="551"/>
      <c r="K11" s="551"/>
      <c r="L11" s="551"/>
      <c r="M11" s="551"/>
      <c r="N11" s="551"/>
      <c r="O11" s="40" t="s">
        <v>17</v>
      </c>
      <c r="P11" s="40" t="s">
        <v>18</v>
      </c>
      <c r="Q11" s="40" t="s">
        <v>19</v>
      </c>
      <c r="R11" s="551"/>
      <c r="S11" s="551"/>
      <c r="T11" s="598"/>
      <c r="U11" s="598"/>
      <c r="V11" s="551"/>
      <c r="W11" s="40" t="s">
        <v>20</v>
      </c>
      <c r="X11" s="40" t="s">
        <v>21</v>
      </c>
      <c r="Y11" s="551"/>
      <c r="Z11" s="551"/>
      <c r="AA11" s="399" t="s">
        <v>710</v>
      </c>
      <c r="AB11" s="399" t="s">
        <v>711</v>
      </c>
      <c r="AC11" s="399"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t="24.75" customHeight="1">
      <c r="D15" s="89">
        <v>1</v>
      </c>
      <c r="E15" s="639" t="s">
        <v>336</v>
      </c>
      <c r="F15" s="639" t="s">
        <v>34</v>
      </c>
      <c r="G15" s="270"/>
      <c r="H15" s="444"/>
      <c r="I15" s="47">
        <v>1</v>
      </c>
      <c r="J15" s="47">
        <v>250</v>
      </c>
      <c r="K15" s="47"/>
      <c r="L15" s="47"/>
      <c r="M15" s="638">
        <f>+IFERROR(IF(COUNT(J15:L15),ROUND(SUM(J15:L15),0),""),"")</f>
        <v>250</v>
      </c>
      <c r="N15" s="222">
        <f>+IFERROR(IF(COUNT(M15),ROUND(M15/'Shareholding Pattern'!$L$78*100,2),""),"")</f>
        <v>0.02</v>
      </c>
      <c r="O15" s="47">
        <f>IF(J15="","",J15)</f>
        <v>250</v>
      </c>
      <c r="P15" s="47"/>
      <c r="Q15" s="638">
        <f>+IFERROR(IF(COUNT(O15:P15),ROUND(SUM(O15,P15),2),""),"")</f>
        <v>250</v>
      </c>
      <c r="R15" s="222">
        <f>+IFERROR(IF(COUNT(Q15),ROUND(Q15/('Shareholding Pattern'!$P$79)*100,2),""),"")</f>
        <v>0.02</v>
      </c>
      <c r="S15" s="47"/>
      <c r="T15" s="47"/>
      <c r="U15" s="638"/>
      <c r="V15" s="221">
        <f>+IFERROR(IF(COUNT(M15,U15),ROUND(SUM(U15,M15)/SUM('Shareholding Pattern'!$L$78,'Shareholding Pattern'!$T$78)*100,2),""),"")</f>
        <v>0.02</v>
      </c>
      <c r="W15" s="47"/>
      <c r="X15" s="221" t="str">
        <f>+IFERROR(IF(COUNT(W15),ROUND(SUM(W15)/SUM(M15)*100,2),""),0)</f>
        <v/>
      </c>
      <c r="Y15" s="47">
        <v>0</v>
      </c>
      <c r="Z15" s="265"/>
      <c r="AA15" s="47">
        <v>0</v>
      </c>
      <c r="AB15" s="47">
        <v>0</v>
      </c>
      <c r="AC15" s="47">
        <v>0</v>
      </c>
    </row>
    <row r="16" spans="4:54" hidden="1">
      <c r="D16" s="200"/>
      <c r="E16" s="18"/>
      <c r="F16" s="18"/>
      <c r="G16" s="18"/>
      <c r="H16" s="18"/>
      <c r="I16" s="18"/>
      <c r="J16" s="18"/>
      <c r="K16" s="198"/>
      <c r="L16" s="198"/>
      <c r="M16" s="18"/>
      <c r="N16" s="18"/>
      <c r="O16" s="198"/>
      <c r="P16" s="198"/>
      <c r="Q16" s="18"/>
      <c r="R16" s="18"/>
      <c r="S16" s="18"/>
      <c r="T16" s="18"/>
      <c r="U16" s="18"/>
      <c r="V16" s="18"/>
      <c r="W16" s="198"/>
      <c r="X16" s="18"/>
      <c r="Y16" s="201"/>
      <c r="Z16" s="201"/>
      <c r="AA16" s="201"/>
      <c r="AB16" s="201"/>
      <c r="AC16" s="199"/>
    </row>
    <row r="17" spans="4:29" ht="24.95" customHeight="1">
      <c r="D17" s="128"/>
      <c r="E17" s="36"/>
      <c r="F17" s="36"/>
      <c r="G17" s="60" t="s">
        <v>392</v>
      </c>
      <c r="H17" s="60" t="s">
        <v>19</v>
      </c>
      <c r="I17" s="64">
        <f ca="1">+IFERROR(IF(COUNT(I13:I16),ROUND(SUMIF($F$13:I16,"Category",I13:I16),0),""),"")</f>
        <v>1</v>
      </c>
      <c r="J17" s="64">
        <f ca="1">+IFERROR(IF(COUNT(J13:J16),ROUND(SUMIF($F$13:J16,"Category",J13:J16),0),""),"")</f>
        <v>250</v>
      </c>
      <c r="K17" s="64" t="str">
        <f>+IFERROR(IF(COUNT(K13:K16),ROUND(SUMIF($F$13:K16,"Category",K13:K16),0),""),"")</f>
        <v/>
      </c>
      <c r="L17" s="64" t="str">
        <f>+IFERROR(IF(COUNT(L13:L16),ROUND(SUMIF($F$13:L16,"Category",L13:L16),0),""),"")</f>
        <v/>
      </c>
      <c r="M17" s="64">
        <f ca="1">+IFERROR(IF(COUNT(M13:M16),ROUND(SUMIF($F$13:M16,"Category",M13:M16),0),""),"")</f>
        <v>250</v>
      </c>
      <c r="N17" s="221">
        <f ca="1">+IFERROR(IF(COUNT(N13:N16),ROUND(SUMIF($F$13:N16,"Category",N13:N16),2),""),"")</f>
        <v>0.02</v>
      </c>
      <c r="O17" s="185">
        <f ca="1">+IFERROR(IF(COUNT(O13:O16),ROUND(SUMIF($F$13:O16,"Category",O13:O16),0),""),"")</f>
        <v>250</v>
      </c>
      <c r="P17" s="185" t="str">
        <f>+IFERROR(IF(COUNT(P13:P16),ROUND(SUMIF($F$13:P16,"Category",P13:P16),0),""),"")</f>
        <v/>
      </c>
      <c r="Q17" s="185">
        <f ca="1">+IFERROR(IF(COUNT(Q13:Q16),ROUND(SUMIF($F$13:Q16,"Category",Q13:Q16),0),""),"")</f>
        <v>250</v>
      </c>
      <c r="R17" s="221">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21">
        <f ca="1">+IFERROR(IF(COUNT(V13:V16),ROUND(SUMIF($F$13:V16,"Category",V13:V16),2),""),"")</f>
        <v>0.02</v>
      </c>
      <c r="W17" s="64" t="str">
        <f>+IFERROR(IF(COUNT(W13:W16),ROUND(SUMIF($F$13:W16,"Category",W13:W16),0),""),"")</f>
        <v/>
      </c>
      <c r="X17" s="221" t="str">
        <f>+IFERROR(IF(COUNT(W17),ROUND(SUM(W17)/SUM(M17)*100,2),""),0)</f>
        <v/>
      </c>
      <c r="Y17" s="64">
        <f ca="1">+IFERROR(IF(COUNT(Y13:Y16),ROUND(SUMIF($F$13:Y16,"Category",Y13:Y16),0),""),"")</f>
        <v>0</v>
      </c>
      <c r="Z17" s="406"/>
      <c r="AA17" s="64">
        <f ca="1">+IFERROR(IF(COUNT(AA13:AA16),ROUND(SUMIF($F$13:AA16,"Category",AA13:AA16),0),""),"")</f>
        <v>0</v>
      </c>
      <c r="AB17" s="64">
        <f ca="1">+IFERROR(IF(COUNT(AB13:AB16),ROUND(SUMIF($F$13:AB16,"Category",AB13:AB16),0),""),"")</f>
        <v>0</v>
      </c>
      <c r="AC17" s="64">
        <f ca="1">+IFERROR(IF(COUNT(AC13:AC16),ROUND(SUMIF($F$13:AC16,"Category",AC13:AC16),0),""),"")</f>
        <v>0</v>
      </c>
    </row>
    <row r="20" spans="4:29">
      <c r="G20" s="102"/>
    </row>
  </sheetData>
  <sheetProtection algorithmName="SHA-512" hashValue="KlJJv1jpt5XJa7A4/yYidU6KzsJmF2ctzBpYXxYsd3fQ7rp5K7QNSYgDzfyZOH7x6P0fjae6ZoZ+10GvFlHweQ==" saltValue="66/ESy8bxGugaPhrom+N+g==" spinCount="100000" sheet="1" objects="1" scenarios="1"/>
  <dataConsolidate/>
  <mergeCells count="23">
    <mergeCell ref="O9:R9"/>
    <mergeCell ref="S9:S11"/>
    <mergeCell ref="W9:X10"/>
    <mergeCell ref="K9:K11"/>
    <mergeCell ref="L9:L11"/>
    <mergeCell ref="M9:M11"/>
    <mergeCell ref="N9:N11"/>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s>
  <dataValidations count="10">
    <dataValidation type="whole" operator="lessThanOrEqual" allowBlank="1" showInputMessage="1" showErrorMessage="1" sqref="Y13 Y15">
      <formula1>M13</formula1>
    </dataValidation>
    <dataValidation type="whole" operator="lessThanOrEqual" allowBlank="1" showInputMessage="1" showErrorMessage="1" sqref="W13 W15">
      <formula1>J13</formula1>
    </dataValidation>
    <dataValidation type="whole" operator="greaterThanOrEqual" allowBlank="1" showInputMessage="1" showErrorMessage="1" sqref="O13:P13 J13:L13 S13:T13 O15:P15 J15:L15 S15:T15">
      <formula1>0</formula1>
    </dataValidation>
    <dataValidation type="textLength" operator="equal" allowBlank="1" showInputMessage="1" showErrorMessage="1" prompt="[A-Z][A-Z][A-Z][A-Z][A-Z][0-9][0-9][0-9][0-9][A-Z]_x000a__x000a_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$AE$1:$BB$1</formula1>
    </dataValidation>
    <dataValidation type="whole" operator="greaterThan" allowBlank="1" showInputMessage="1" showErrorMessage="1" sqref="I13 I15">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
      <formula1>M13</formula1>
    </dataValidation>
  </dataValidations>
  <hyperlinks>
    <hyperlink ref="H17" location="'Shareholding Pattern'!F48" display="Total"/>
    <hyperlink ref="G17"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D15" sqref="D15:F15"/>
    </sheetView>
  </sheetViews>
  <sheetFormatPr defaultColWidth="0" defaultRowHeight="15"/>
  <cols>
    <col min="1" max="2" width="2.7109375" style="18" hidden="1" customWidth="1"/>
    <col min="3" max="3" width="2.7109375" style="18" customWidth="1"/>
    <col min="4" max="4" width="72.140625" style="18" customWidth="1"/>
    <col min="5" max="5" width="24.140625" style="18" customWidth="1"/>
    <col min="6" max="6" width="18.140625" style="18" customWidth="1"/>
    <col min="7" max="7" width="20.7109375" style="18" customWidth="1"/>
    <col min="8" max="8" width="4" style="18" customWidth="1"/>
    <col min="9" max="10" width="1" style="18" hidden="1"/>
    <col min="11" max="14" width="2.7109375" style="18" hidden="1"/>
    <col min="15" max="16383" width="10.14062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30"/>
    </row>
    <row r="8" spans="4:14" ht="30" customHeight="1">
      <c r="D8" s="614" t="s">
        <v>842</v>
      </c>
      <c r="E8" s="615"/>
      <c r="F8" s="616"/>
      <c r="G8" s="431"/>
    </row>
    <row r="9" spans="4:14" ht="31.5">
      <c r="D9" s="413" t="s">
        <v>107</v>
      </c>
      <c r="E9" s="413" t="s">
        <v>858</v>
      </c>
      <c r="F9" s="413" t="s">
        <v>850</v>
      </c>
      <c r="G9" s="432"/>
    </row>
    <row r="10" spans="4:14" ht="20.100000000000001" customHeight="1">
      <c r="D10" s="318" t="s">
        <v>843</v>
      </c>
      <c r="E10" s="427">
        <v>100</v>
      </c>
      <c r="F10" s="428">
        <v>0</v>
      </c>
      <c r="G10" s="433"/>
      <c r="K10" s="18">
        <v>0</v>
      </c>
      <c r="L10" s="18">
        <v>0</v>
      </c>
      <c r="M10" s="18">
        <v>0</v>
      </c>
      <c r="N10" s="18">
        <v>0</v>
      </c>
    </row>
    <row r="11" spans="4:14" ht="20.100000000000001" customHeight="1">
      <c r="D11" s="319" t="s">
        <v>844</v>
      </c>
      <c r="E11" s="427">
        <v>100</v>
      </c>
      <c r="F11" s="427">
        <v>0</v>
      </c>
      <c r="G11" s="433"/>
      <c r="K11" s="18">
        <v>0</v>
      </c>
      <c r="L11" s="18">
        <v>0</v>
      </c>
      <c r="M11" s="18">
        <v>0</v>
      </c>
      <c r="N11" s="18">
        <v>0</v>
      </c>
    </row>
    <row r="12" spans="4:14" ht="20.100000000000001" customHeight="1">
      <c r="D12" s="319" t="s">
        <v>845</v>
      </c>
      <c r="E12" s="427">
        <v>100</v>
      </c>
      <c r="F12" s="427">
        <v>0</v>
      </c>
      <c r="G12" s="433"/>
      <c r="K12" s="18">
        <v>0</v>
      </c>
      <c r="L12" s="18">
        <v>0</v>
      </c>
      <c r="M12" s="18">
        <v>0</v>
      </c>
      <c r="N12" s="18">
        <v>0</v>
      </c>
    </row>
    <row r="13" spans="4:14">
      <c r="D13" s="319" t="s">
        <v>846</v>
      </c>
      <c r="E13" s="427">
        <v>100</v>
      </c>
      <c r="F13" s="427">
        <v>0</v>
      </c>
      <c r="G13" s="433"/>
      <c r="K13" s="18">
        <v>0</v>
      </c>
      <c r="L13" s="18">
        <v>0</v>
      </c>
      <c r="M13" s="18">
        <v>0</v>
      </c>
      <c r="N13" s="18">
        <v>0</v>
      </c>
    </row>
    <row r="14" spans="4:14" ht="21.75" customHeight="1">
      <c r="D14" s="321" t="s">
        <v>847</v>
      </c>
      <c r="E14" s="429">
        <v>100</v>
      </c>
      <c r="F14" s="429">
        <v>0</v>
      </c>
      <c r="G14" s="433"/>
      <c r="K14" s="18">
        <v>0</v>
      </c>
      <c r="L14" s="18">
        <v>0</v>
      </c>
      <c r="M14" s="18">
        <v>0</v>
      </c>
      <c r="N14" s="18">
        <v>0</v>
      </c>
    </row>
    <row r="15" spans="4:14" s="434" customFormat="1" ht="91.5" customHeight="1">
      <c r="D15" s="618" t="s">
        <v>857</v>
      </c>
      <c r="E15" s="619"/>
      <c r="F15" s="620"/>
      <c r="G15" s="435"/>
    </row>
    <row r="16" spans="4:14" ht="15" customHeight="1">
      <c r="D16" s="617"/>
      <c r="E16" s="617"/>
      <c r="F16" s="436"/>
    </row>
  </sheetData>
  <sheetProtection algorithmName="SHA-512" hashValue="yjLcFOhszRZjBR/GpaA7rHeLF2mXw7v50De75GuWSHCZ4lgEzrn9UOcdbEiMlrzpTitQijH/JbEQrR04Ovd+/g==" saltValue="BRUxcuF1KA12gvruRleY4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5"/>
  <cols>
    <col min="1" max="1" width="42" customWidth="1"/>
    <col min="2" max="2" width="51.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13" t="s">
        <v>455</v>
      </c>
      <c r="B1" s="313" t="s">
        <v>213</v>
      </c>
      <c r="C1" s="313" t="s">
        <v>456</v>
      </c>
      <c r="D1" s="313" t="s">
        <v>214</v>
      </c>
      <c r="E1" s="313" t="s">
        <v>552</v>
      </c>
    </row>
    <row r="2" spans="1:5" ht="18.7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7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7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30">
      <c r="A80" s="325" t="s">
        <v>813</v>
      </c>
      <c r="B80" s="412"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7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7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7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7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7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7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7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75">
      <c r="A235" s="323" t="s">
        <v>848</v>
      </c>
      <c r="B235" s="323"/>
      <c r="C235" s="323"/>
      <c r="D235" s="323"/>
      <c r="E235" s="323"/>
    </row>
    <row r="236" spans="1:5" ht="105">
      <c r="A236" t="s">
        <v>851</v>
      </c>
      <c r="B236" t="s">
        <v>849</v>
      </c>
      <c r="C236" t="s">
        <v>247</v>
      </c>
      <c r="D236" t="s">
        <v>225</v>
      </c>
      <c r="E236" s="412" t="s">
        <v>855</v>
      </c>
    </row>
    <row r="237" spans="1:5" ht="105">
      <c r="A237" t="s">
        <v>853</v>
      </c>
      <c r="B237" t="s">
        <v>850</v>
      </c>
      <c r="C237" t="s">
        <v>247</v>
      </c>
      <c r="D237" t="s">
        <v>225</v>
      </c>
      <c r="E237" s="412" t="s">
        <v>855</v>
      </c>
    </row>
    <row r="238" spans="1:5" ht="105">
      <c r="A238" t="s">
        <v>854</v>
      </c>
      <c r="B238" t="s">
        <v>852</v>
      </c>
      <c r="C238" t="s">
        <v>247</v>
      </c>
      <c r="D238" t="s">
        <v>225</v>
      </c>
      <c r="E238" s="412"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5"/>
  <cols>
    <col min="1" max="1" width="2.7109375" hidden="1" customWidth="1"/>
    <col min="2" max="2" width="2.7109375" customWidth="1"/>
    <col min="3" max="3" width="7.140625" customWidth="1"/>
    <col min="4" max="6" width="35.7109375" customWidth="1"/>
    <col min="7" max="7" width="13.7109375" customWidth="1"/>
    <col min="8" max="9" width="20.7109375" customWidth="1"/>
    <col min="10" max="11" width="20.7109375" hidden="1" customWidth="1"/>
    <col min="12" max="14" width="20.7109375" customWidth="1"/>
    <col min="15" max="15" width="20.7109375" hidden="1" customWidth="1"/>
    <col min="16" max="17" width="20.7109375" customWidth="1"/>
    <col min="18" max="20" width="20.7109375" hidden="1" customWidth="1"/>
    <col min="21" max="21" width="20.7109375" customWidth="1"/>
    <col min="22" max="23" width="20.7109375" hidden="1" customWidth="1"/>
    <col min="24" max="25" width="20.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21" t="s">
        <v>122</v>
      </c>
      <c r="D9" s="599" t="s">
        <v>34</v>
      </c>
      <c r="E9" s="551" t="s">
        <v>121</v>
      </c>
      <c r="F9" s="551" t="s">
        <v>118</v>
      </c>
      <c r="G9" s="551" t="s">
        <v>1</v>
      </c>
      <c r="H9" s="511" t="s">
        <v>368</v>
      </c>
      <c r="I9" s="551" t="s">
        <v>3</v>
      </c>
      <c r="J9" s="551" t="s">
        <v>4</v>
      </c>
      <c r="K9" s="551" t="s">
        <v>5</v>
      </c>
      <c r="L9" s="551" t="s">
        <v>6</v>
      </c>
      <c r="M9" s="551" t="s">
        <v>7</v>
      </c>
      <c r="N9" s="551" t="s">
        <v>8</v>
      </c>
      <c r="O9" s="551"/>
      <c r="P9" s="551"/>
      <c r="Q9" s="551"/>
      <c r="R9" s="551" t="s">
        <v>9</v>
      </c>
      <c r="S9" s="599" t="s">
        <v>447</v>
      </c>
      <c r="T9" s="599" t="s">
        <v>116</v>
      </c>
      <c r="U9" s="551" t="s">
        <v>89</v>
      </c>
      <c r="V9" s="551" t="s">
        <v>12</v>
      </c>
      <c r="W9" s="551"/>
      <c r="X9" s="551" t="s">
        <v>14</v>
      </c>
      <c r="Y9" s="511" t="s">
        <v>441</v>
      </c>
    </row>
    <row r="10" spans="3:30" ht="31.5" customHeight="1">
      <c r="C10" s="622"/>
      <c r="D10" s="597"/>
      <c r="E10" s="551"/>
      <c r="F10" s="551"/>
      <c r="G10" s="551"/>
      <c r="H10" s="551"/>
      <c r="I10" s="551"/>
      <c r="J10" s="551"/>
      <c r="K10" s="551"/>
      <c r="L10" s="551"/>
      <c r="M10" s="551"/>
      <c r="N10" s="551" t="s">
        <v>15</v>
      </c>
      <c r="O10" s="551"/>
      <c r="P10" s="551"/>
      <c r="Q10" s="551" t="s">
        <v>16</v>
      </c>
      <c r="R10" s="551"/>
      <c r="S10" s="597"/>
      <c r="T10" s="597"/>
      <c r="U10" s="551"/>
      <c r="V10" s="551"/>
      <c r="W10" s="551"/>
      <c r="X10" s="551"/>
      <c r="Y10" s="551"/>
    </row>
    <row r="11" spans="3:30" ht="78.75" customHeight="1">
      <c r="C11" s="623"/>
      <c r="D11" s="598"/>
      <c r="E11" s="551"/>
      <c r="F11" s="551"/>
      <c r="G11" s="551"/>
      <c r="H11" s="551"/>
      <c r="I11" s="551"/>
      <c r="J11" s="551"/>
      <c r="K11" s="551"/>
      <c r="L11" s="551"/>
      <c r="M11" s="551"/>
      <c r="N11" s="40" t="s">
        <v>17</v>
      </c>
      <c r="O11" s="40" t="s">
        <v>18</v>
      </c>
      <c r="P11" s="40" t="s">
        <v>19</v>
      </c>
      <c r="Q11" s="551"/>
      <c r="R11" s="551"/>
      <c r="S11" s="598"/>
      <c r="T11" s="598"/>
      <c r="U11" s="551"/>
      <c r="V11" s="40" t="s">
        <v>20</v>
      </c>
      <c r="W11" s="40" t="s">
        <v>21</v>
      </c>
      <c r="X11" s="551"/>
      <c r="Y11" s="551"/>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4.9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4.9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00000000000001"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algorithmName="SHA-512" hashValue="Vo/3SM8gMUQr9ody883hqTe8570IqxobConAnirPcRzIPBdqIgU87GrZcnKdQ5TF/Gk2y2FYPm2QoYow2AQN0Q==" saltValue="SiEJ/gZLPJ799DrQ8ZFapg==" spinCount="100000"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6" width="13.7109375" customWidth="1"/>
    <col min="7"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4" width="20.710937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45" customHeight="1">
      <c r="D9" s="599" t="s">
        <v>119</v>
      </c>
      <c r="E9" s="551" t="s">
        <v>118</v>
      </c>
      <c r="F9" s="551" t="s">
        <v>1</v>
      </c>
      <c r="G9" s="511" t="s">
        <v>368</v>
      </c>
      <c r="H9" s="551" t="s">
        <v>3</v>
      </c>
      <c r="I9" s="551" t="s">
        <v>4</v>
      </c>
      <c r="J9" s="551" t="s">
        <v>5</v>
      </c>
      <c r="K9" s="551" t="s">
        <v>6</v>
      </c>
      <c r="L9" s="551" t="s">
        <v>7</v>
      </c>
      <c r="M9" s="551" t="s">
        <v>8</v>
      </c>
      <c r="N9" s="551"/>
      <c r="O9" s="551"/>
      <c r="P9" s="551"/>
      <c r="Q9" s="551" t="s">
        <v>9</v>
      </c>
      <c r="R9" s="599" t="s">
        <v>447</v>
      </c>
      <c r="S9" s="599" t="s">
        <v>116</v>
      </c>
      <c r="T9" s="551" t="s">
        <v>89</v>
      </c>
      <c r="U9" s="551" t="s">
        <v>12</v>
      </c>
      <c r="V9" s="551"/>
      <c r="W9" s="551" t="s">
        <v>14</v>
      </c>
      <c r="X9" s="511" t="s">
        <v>441</v>
      </c>
    </row>
    <row r="10" spans="4:30" ht="31.5" customHeight="1">
      <c r="D10" s="597"/>
      <c r="E10" s="551"/>
      <c r="F10" s="551"/>
      <c r="G10" s="551"/>
      <c r="H10" s="551"/>
      <c r="I10" s="551"/>
      <c r="J10" s="551"/>
      <c r="K10" s="551"/>
      <c r="L10" s="551"/>
      <c r="M10" s="551" t="s">
        <v>15</v>
      </c>
      <c r="N10" s="551"/>
      <c r="O10" s="551"/>
      <c r="P10" s="551" t="s">
        <v>16</v>
      </c>
      <c r="Q10" s="551"/>
      <c r="R10" s="597"/>
      <c r="S10" s="597"/>
      <c r="T10" s="551"/>
      <c r="U10" s="551"/>
      <c r="V10" s="551"/>
      <c r="W10" s="551"/>
      <c r="X10" s="551"/>
    </row>
    <row r="11" spans="4:30" ht="45">
      <c r="D11" s="598"/>
      <c r="E11" s="551"/>
      <c r="F11" s="551"/>
      <c r="G11" s="551"/>
      <c r="H11" s="551"/>
      <c r="I11" s="551"/>
      <c r="J11" s="551"/>
      <c r="K11" s="551"/>
      <c r="L11" s="551"/>
      <c r="M11" s="58" t="s">
        <v>17</v>
      </c>
      <c r="N11" s="58" t="s">
        <v>18</v>
      </c>
      <c r="O11" s="58" t="s">
        <v>19</v>
      </c>
      <c r="P11" s="551"/>
      <c r="Q11" s="551"/>
      <c r="R11" s="598"/>
      <c r="S11" s="598"/>
      <c r="T11" s="551"/>
      <c r="U11" s="58" t="s">
        <v>20</v>
      </c>
      <c r="V11" s="58" t="s">
        <v>21</v>
      </c>
      <c r="W11" s="551"/>
      <c r="X11" s="551"/>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4.9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00000000000001"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algorithmName="SHA-512" hashValue="X2xkpYoULQ8OS2/vBBg80iDnPzUALby8SntLHo/iZm7mxjv0uJB2rVYYKzoB2VCJs9HYzjEbNZV63YjBsraX8Q==" saltValue="wVJQeewBVs+JYRqtc/IBTA==" spinCount="100000"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12" t="s">
        <v>375</v>
      </c>
      <c r="F9" s="513"/>
      <c r="G9" s="513"/>
      <c r="H9" s="513"/>
      <c r="I9" s="514"/>
      <c r="J9" s="101"/>
    </row>
    <row r="10" spans="5:10">
      <c r="E10" s="599" t="s">
        <v>119</v>
      </c>
      <c r="F10" s="596" t="s">
        <v>126</v>
      </c>
      <c r="G10" s="596" t="s">
        <v>127</v>
      </c>
      <c r="H10" s="596" t="s">
        <v>325</v>
      </c>
      <c r="I10" s="596" t="s">
        <v>326</v>
      </c>
      <c r="J10" s="101"/>
    </row>
    <row r="11" spans="5:10">
      <c r="E11" s="624"/>
      <c r="F11" s="524"/>
      <c r="G11" s="597"/>
      <c r="H11" s="524"/>
      <c r="I11" s="524"/>
      <c r="J11" s="101"/>
    </row>
    <row r="12" spans="5:10">
      <c r="E12" s="625"/>
      <c r="F12" s="510"/>
      <c r="G12" s="598"/>
      <c r="H12" s="510"/>
      <c r="I12" s="510"/>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5"/>
  <sheetData>
    <row r="1" spans="2:2">
      <c r="B1" s="353"/>
    </row>
    <row r="2" spans="2:2">
      <c r="B2" s="353"/>
    </row>
    <row r="3" spans="2:2">
      <c r="B3" s="353"/>
    </row>
    <row r="4" spans="2:2">
      <c r="B4" s="353"/>
    </row>
    <row r="5" spans="2:2">
      <c r="B5" s="353"/>
    </row>
    <row r="6" spans="2:2">
      <c r="B6" s="353"/>
    </row>
    <row r="7" spans="2:2">
      <c r="B7" s="353"/>
    </row>
    <row r="8" spans="2:2">
      <c r="B8" s="353"/>
    </row>
    <row r="9" spans="2:2">
      <c r="B9" s="353"/>
    </row>
    <row r="10" spans="2:2">
      <c r="B10" s="353"/>
    </row>
    <row r="11" spans="2:2">
      <c r="B11" s="353"/>
    </row>
    <row r="12" spans="2:2">
      <c r="B12" s="353"/>
    </row>
    <row r="13" spans="2:2">
      <c r="B13" s="353"/>
    </row>
    <row r="14" spans="2:2">
      <c r="B14" s="353"/>
    </row>
    <row r="15" spans="2:2">
      <c r="B15" s="353"/>
    </row>
    <row r="16" spans="2:2">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4" sqref="H14"/>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628" t="s">
        <v>370</v>
      </c>
      <c r="E9" s="629"/>
      <c r="F9" s="629"/>
      <c r="G9" s="629"/>
      <c r="H9" s="630"/>
    </row>
    <row r="10" spans="4:9">
      <c r="D10" s="599" t="s">
        <v>119</v>
      </c>
      <c r="E10" s="596" t="s">
        <v>546</v>
      </c>
      <c r="F10" s="596" t="s">
        <v>128</v>
      </c>
      <c r="G10" s="596" t="s">
        <v>129</v>
      </c>
      <c r="H10" s="596" t="s">
        <v>130</v>
      </c>
    </row>
    <row r="11" spans="4:9">
      <c r="D11" s="626"/>
      <c r="E11" s="626"/>
      <c r="F11" s="524"/>
      <c r="G11" s="597"/>
      <c r="H11" s="524"/>
    </row>
    <row r="12" spans="4:9">
      <c r="D12" s="627"/>
      <c r="E12" s="627"/>
      <c r="F12" s="510"/>
      <c r="G12" s="598"/>
      <c r="H12" s="510"/>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512" t="s">
        <v>371</v>
      </c>
      <c r="F9" s="513"/>
      <c r="G9" s="513"/>
      <c r="H9" s="513"/>
      <c r="I9" s="104"/>
    </row>
    <row r="10" spans="5:9">
      <c r="E10" s="599" t="s">
        <v>119</v>
      </c>
      <c r="F10" s="596" t="s">
        <v>126</v>
      </c>
      <c r="G10" s="596" t="s">
        <v>127</v>
      </c>
      <c r="H10" s="596" t="s">
        <v>131</v>
      </c>
      <c r="I10" s="631" t="s">
        <v>327</v>
      </c>
    </row>
    <row r="11" spans="5:9">
      <c r="E11" s="626"/>
      <c r="F11" s="524"/>
      <c r="G11" s="597"/>
      <c r="H11" s="524"/>
      <c r="I11" s="632"/>
    </row>
    <row r="12" spans="5:9">
      <c r="E12" s="627"/>
      <c r="F12" s="510"/>
      <c r="G12" s="598"/>
      <c r="H12" s="510"/>
      <c r="I12" s="633"/>
    </row>
    <row r="13" spans="5:9" hidden="1">
      <c r="E13" s="191"/>
      <c r="F13" s="16"/>
      <c r="G13" s="99"/>
      <c r="H13" s="99"/>
      <c r="I13" s="105"/>
    </row>
    <row r="14" spans="5:9" ht="24.75" customHeight="1">
      <c r="E14" s="12"/>
      <c r="F14" s="55"/>
      <c r="G14" s="55"/>
      <c r="H14" s="55"/>
      <c r="I14" s="243"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Admin</cp:lastModifiedBy>
  <cp:lastPrinted>2016-09-08T06:44:45Z</cp:lastPrinted>
  <dcterms:created xsi:type="dcterms:W3CDTF">2015-12-16T12:56:50Z</dcterms:created>
  <dcterms:modified xsi:type="dcterms:W3CDTF">2023-01-11T12:32:54Z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