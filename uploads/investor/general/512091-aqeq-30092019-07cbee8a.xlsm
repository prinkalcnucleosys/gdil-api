
<file path=[Content_Types].xml><?xml version="1.0" encoding="utf-8"?>
<Types xmlns="http://schemas.openxmlformats.org/package/2006/content-types">
  <Override PartName="/xl/worksheets/sheet24.xml" ContentType="application/vnd.openxmlformats-officedocument.spreadsheetml.worksheet+xml"/>
  <Override PartName="/xl/worksheets/sheet35.xml" ContentType="application/vnd.openxmlformats-officedocument.spreadsheetml.worksheet+xml"/>
  <Override PartName="/xl/worksheets/sheet13.xml" ContentType="application/vnd.openxmlformats-officedocument.spreadsheetml.worksheet+xml"/>
  <Override PartName="/xl/styles.xml" ContentType="application/vnd.openxmlformats-officedocument.spreadsheetml.styles+xml"/>
  <Override PartName="/xl/drawings/drawing6.xml" ContentType="application/vnd.openxmlformats-officedocument.drawing+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worksheets/sheet31.xml" ContentType="application/vnd.openxmlformats-officedocument.spreadsheetml.worksheet+xml"/>
  <Override PartName="/xl/drawings/drawing4.xml" ContentType="application/vnd.openxmlformats-officedocument.drawing+xml"/>
  <Override PartName="/xl/drawings/drawing17.xml" ContentType="application/vnd.openxmlformats-officedocument.drawing+xml"/>
  <Override PartName="/xl/drawings/drawing28.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drawings/drawing2.xml" ContentType="application/vnd.openxmlformats-officedocument.drawing+xml"/>
  <Override PartName="/xl/drawings/drawing15.xml" ContentType="application/vnd.openxmlformats-officedocument.drawing+xml"/>
  <Override PartName="/xl/drawings/drawing26.xml" ContentType="application/vnd.openxmlformats-officedocument.drawing+xml"/>
  <Override PartName="/xl/drawings/drawing35.xml" ContentType="application/vnd.openxmlformats-officedocument.drawing+xml"/>
  <Override PartName="/xl/ctrlProps/ctrlProp16.xml" ContentType="application/vnd.ms-excel.controlproperties+xml"/>
  <Override PartName="/xl/worksheets/sheet3.xml" ContentType="application/vnd.openxmlformats-officedocument.spreadsheetml.worksheet+xml"/>
  <Override PartName="/xl/drawings/drawing13.xml" ContentType="application/vnd.openxmlformats-officedocument.drawing+xml"/>
  <Override PartName="/xl/drawings/drawing22.xml" ContentType="application/vnd.openxmlformats-officedocument.drawing+xml"/>
  <Override PartName="/xl/drawings/drawing24.xml" ContentType="application/vnd.openxmlformats-officedocument.drawing+xml"/>
  <Override PartName="/xl/drawings/drawing33.xml" ContentType="application/vnd.openxmlformats-officedocument.drawing+xml"/>
  <Override PartName="/xl/ctrlProps/ctrlProp14.xml" ContentType="application/vnd.ms-excel.controlproperties+xml"/>
  <Override PartName="/xl/ctrlProps/ctrlProp8.xml" ContentType="application/vnd.ms-excel.controlproperties+xml"/>
  <Override PartName="/xl/worksheets/sheet1.xml" ContentType="application/vnd.openxmlformats-officedocument.spreadsheetml.worksheet+xml"/>
  <Override PartName="/xl/drawings/drawing11.xml" ContentType="application/vnd.openxmlformats-officedocument.drawing+xml"/>
  <Override PartName="/xl/drawings/drawing20.xml" ContentType="application/vnd.openxmlformats-officedocument.drawing+xml"/>
  <Override PartName="/xl/drawings/drawing31.xml" ContentType="application/vnd.openxmlformats-officedocument.drawing+xml"/>
  <Override PartName="/xl/ctrlProps/ctrlProp6.xml" ContentType="application/vnd.ms-excel.controlproperties+xml"/>
  <Override PartName="/xl/ctrlProps/ctrlProp12.xml" ContentType="application/vnd.ms-excel.controlproperties+xml"/>
  <Override PartName="/xl/worksheets/sheet29.xml" ContentType="application/vnd.openxmlformats-officedocument.spreadsheetml.worksheet+xml"/>
  <Override PartName="/xl/worksheets/sheet38.xml" ContentType="application/vnd.openxmlformats-officedocument.spreadsheetml.worksheet+xml"/>
  <Override PartName="/xl/sharedStrings.xml" ContentType="application/vnd.openxmlformats-officedocument.spreadsheetml.sharedStrings+xml"/>
  <Override PartName="/xl/ctrlProps/ctrlProp4.xml" ContentType="application/vnd.ms-excel.controlproperties+xml"/>
  <Override PartName="/xl/ctrlProps/ctrlProp10.xml" ContentType="application/vnd.ms-excel.controlproperties+xml"/>
  <Override PartName="/xl/worksheets/sheet18.xml" ContentType="application/vnd.openxmlformats-officedocument.spreadsheetml.worksheet+xml"/>
  <Override PartName="/xl/worksheets/sheet27.xml" ContentType="application/vnd.openxmlformats-officedocument.spreadsheetml.worksheet+xml"/>
  <Override PartName="/xl/worksheets/sheet36.xml" ContentType="application/vnd.openxmlformats-officedocument.spreadsheetml.worksheet+xml"/>
  <Override PartName="/xl/ctrlProps/ctrlProp2.xml" ContentType="application/vnd.ms-excel.controlproperties+xml"/>
  <Override PartName="/xl/worksheets/sheet16.xml" ContentType="application/vnd.openxmlformats-officedocument.spreadsheetml.worksheet+xml"/>
  <Override PartName="/xl/worksheets/sheet25.xml" ContentType="application/vnd.openxmlformats-officedocument.spreadsheetml.worksheet+xml"/>
  <Override PartName="/xl/worksheets/sheet34.xml" ContentType="application/vnd.openxmlformats-officedocument.spreadsheetml.worksheet+xml"/>
  <Default Extension="bin" ContentType="application/vnd.openxmlformats-officedocument.spreadsheetml.printerSettings"/>
  <Override PartName="/xl/drawings/drawing9.xml" ContentType="application/vnd.openxmlformats-officedocument.drawing+xml"/>
  <Override PartName="/xl/worksheets/sheet14.xml" ContentType="application/vnd.openxmlformats-officedocument.spreadsheetml.worksheet+xml"/>
  <Override PartName="/xl/worksheets/sheet23.xml" ContentType="application/vnd.openxmlformats-officedocument.spreadsheetml.worksheet+xml"/>
  <Override PartName="/xl/worksheets/sheet32.xml" ContentType="application/vnd.openxmlformats-officedocument.spreadsheetml.worksheet+xml"/>
  <Override PartName="/xl/drawings/drawing7.xml" ContentType="application/vnd.openxmlformats-officedocument.drawing+xml"/>
  <Override PartName="/xl/drawings/drawing29.xml" ContentType="application/vnd.openxmlformats-officedocument.drawing+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worksheets/sheet30.xml" ContentType="application/vnd.openxmlformats-officedocument.spreadsheetml.worksheet+xml"/>
  <Default Extension="jpeg" ContentType="image/jpeg"/>
  <Override PartName="/xl/drawings/drawing5.xml" ContentType="application/vnd.openxmlformats-officedocument.drawing+xml"/>
  <Override PartName="/xl/drawings/drawing18.xml" ContentType="application/vnd.openxmlformats-officedocument.drawing+xml"/>
  <Override PartName="/xl/drawings/drawing27.xml" ContentType="application/vnd.openxmlformats-officedocument.drawing+xml"/>
  <Override PartName="/xl/drawings/drawing36.xml" ContentType="application/vnd.openxmlformats-officedocument.drawing+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drawings/drawing3.xml" ContentType="application/vnd.openxmlformats-officedocument.drawing+xml"/>
  <Override PartName="/xl/drawings/drawing16.xml" ContentType="application/vnd.openxmlformats-officedocument.drawing+xml"/>
  <Override PartName="/xl/drawings/drawing25.xml" ContentType="application/vnd.openxmlformats-officedocument.drawing+xml"/>
  <Override PartName="/xl/drawings/drawing34.xml" ContentType="application/vnd.openxmlformats-officedocument.drawing+xml"/>
  <Override PartName="/xl/ctrlProps/ctrlProp9.xml" ContentType="application/vnd.ms-excel.controlproperties+xml"/>
  <Override PartName="/xl/ctrlProps/ctrlProp15.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drawings/drawing14.xml" ContentType="application/vnd.openxmlformats-officedocument.drawing+xml"/>
  <Override PartName="/xl/drawings/drawing23.xml" ContentType="application/vnd.openxmlformats-officedocument.drawing+xml"/>
  <Override PartName="/xl/drawings/drawing32.xml" ContentType="application/vnd.openxmlformats-officedocument.drawing+xml"/>
  <Override PartName="/xl/ctrlProps/ctrlProp13.xml" ContentType="application/vnd.ms-excel.controlproperties+xml"/>
  <Override PartName="/xl/ctrlProps/ctrlProp7.xml" ContentType="application/vnd.ms-excel.controlproperties+xml"/>
  <Default Extension="vml" ContentType="application/vnd.openxmlformats-officedocument.vmlDrawing"/>
  <Override PartName="/xl/drawings/drawing12.xml" ContentType="application/vnd.openxmlformats-officedocument.drawing+xml"/>
  <Override PartName="/xl/drawings/drawing21.xml" ContentType="application/vnd.openxmlformats-officedocument.drawing+xml"/>
  <Override PartName="/xl/drawings/drawing30.xml" ContentType="application/vnd.openxmlformats-officedocument.drawing+xml"/>
  <Override PartName="/xl/calcChain.xml" ContentType="application/vnd.openxmlformats-officedocument.spreadsheetml.calcChain+xml"/>
  <Override PartName="/xl/ctrlProps/ctrlProp5.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worksheets/sheet28.xml" ContentType="application/vnd.openxmlformats-officedocument.spreadsheetml.worksheet+xml"/>
  <Override PartName="/xl/drawings/drawing10.xml" ContentType="application/vnd.openxmlformats-officedocument.drawing+xml"/>
  <Override PartName="/xl/ctrlProps/ctrlProp3.xml" ContentType="application/vnd.ms-excel.controlproperties+xml"/>
  <Override PartName="/xl/worksheets/sheet17.xml" ContentType="application/vnd.openxmlformats-officedocument.spreadsheetml.worksheet+xml"/>
  <Override PartName="/xl/worksheets/sheet26.xml" ContentType="application/vnd.openxmlformats-officedocument.spreadsheetml.worksheet+xml"/>
  <Override PartName="/xl/worksheets/sheet37.xml" ContentType="application/vnd.openxmlformats-officedocument.spreadsheetml.worksheet+xml"/>
  <Override PartName="/xl/ctrlProps/ctrlProp1.xml" ContentType="application/vnd.ms-excel.controlproperties+xml"/>
  <Override PartName="/docProps/core.xml" ContentType="application/vnd.openxmlformats-package.core-properties+xml"/>
  <Override PartName="/xl/worksheets/sheet15.xml" ContentType="application/vnd.openxmlformats-officedocument.spreadsheetml.worksheet+xml"/>
  <Override PartName="/xl/worksheets/sheet9.xml" ContentType="application/vnd.openxmlformats-officedocument.spreadsheetml.worksheet+xml"/>
  <Override PartName="/xl/worksheets/sheet2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drawings/drawing8.xml" ContentType="application/vnd.openxmlformats-officedocument.drawing+xml"/>
  <Override PartName="/xl/drawings/drawing19.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showInkAnnotation="0" codeName="ThisWorkbook"/>
  <bookViews>
    <workbookView xWindow="0" yWindow="0" windowWidth="19440" windowHeight="7755" tabRatio="887" activeTab="1"/>
  </bookViews>
  <sheets>
    <sheet name="Index" sheetId="47" r:id="rId1"/>
    <sheet name="GeneralInfo" sheetId="39" r:id="rId2"/>
    <sheet name="Declaration" sheetId="40" r:id="rId3"/>
    <sheet name="Summary" sheetId="44" r:id="rId4"/>
    <sheet name="Taxonomy" sheetId="45" state="hidden" r:id="rId5"/>
    <sheet name="Shareholding Pattern" sheetId="1" r:id="rId6"/>
    <sheet name="IndHUF" sheetId="2" state="hidden" r:id="rId7"/>
    <sheet name="SBO" sheetId="49" state="hidden" r:id="rId8"/>
    <sheet name="CGAndSG" sheetId="3" r:id="rId9"/>
    <sheet name="Banks" sheetId="4" r:id="rId10"/>
    <sheet name="OtherIND" sheetId="5" state="hidden" r:id="rId11"/>
    <sheet name="Individuals" sheetId="6" r:id="rId12"/>
    <sheet name="Government" sheetId="10" r:id="rId13"/>
    <sheet name="Institutions" sheetId="11" r:id="rId14"/>
    <sheet name="FPIPromoter" sheetId="14" r:id="rId15"/>
    <sheet name="OtherForeign" sheetId="15" r:id="rId16"/>
    <sheet name="MutuaFund" sheetId="16" r:id="rId17"/>
    <sheet name="VentureCap" sheetId="17" r:id="rId18"/>
    <sheet name="AIF" sheetId="18" r:id="rId19"/>
    <sheet name="FVC" sheetId="19" r:id="rId20"/>
    <sheet name="FPI_Insti" sheetId="20" r:id="rId21"/>
    <sheet name="Bank_Insti" sheetId="21" r:id="rId22"/>
    <sheet name="Insurance" sheetId="22" r:id="rId23"/>
    <sheet name="Pension" sheetId="23" r:id="rId24"/>
    <sheet name="Other_Insti" sheetId="24" r:id="rId25"/>
    <sheet name="CG&amp;SG&amp;PI" sheetId="25" r:id="rId26"/>
    <sheet name="Indivisual(aI)" sheetId="26" state="hidden" r:id="rId27"/>
    <sheet name="Indivisual(aII)" sheetId="28" r:id="rId28"/>
    <sheet name="NBFC" sheetId="31" r:id="rId29"/>
    <sheet name="EmpTrust" sheetId="32" r:id="rId30"/>
    <sheet name="OD" sheetId="33" r:id="rId31"/>
    <sheet name="Other_NonInsti" sheetId="34" state="hidden" r:id="rId32"/>
    <sheet name="DRHolder" sheetId="36" r:id="rId33"/>
    <sheet name="EBT" sheetId="38" r:id="rId34"/>
    <sheet name="Unclaimed_Prom" sheetId="41" state="hidden" r:id="rId35"/>
    <sheet name="TextBlock" sheetId="46" state="hidden" r:id="rId36"/>
    <sheet name="PAC_Public" sheetId="42" r:id="rId37"/>
    <sheet name="Unclaimed_Public" sheetId="43" r:id="rId38"/>
  </sheets>
  <functionGroups/>
  <definedNames>
    <definedName name="_xlnm._FilterDatabase" localSheetId="4" hidden="1">Taxonomy!$A$83:$E$194</definedName>
    <definedName name="AR">Banks!$AA$7</definedName>
    <definedName name="half">GeneralInfo!$S$4:$S$5</definedName>
    <definedName name="pre">GeneralInfo!$S$1:$S$3</definedName>
    <definedName name="yy">GeneralInfo!$S$1:$S$5</definedName>
  </definedNames>
  <calcPr calcId="125725"/>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15" i="34"/>
  <c r="U15"/>
  <c r="O15"/>
  <c r="Q15" s="1"/>
  <c r="M15"/>
  <c r="V21" i="26"/>
  <c r="S21"/>
  <c r="M21"/>
  <c r="O21" s="1"/>
  <c r="K21"/>
  <c r="S20"/>
  <c r="M20"/>
  <c r="O20" s="1"/>
  <c r="K20"/>
  <c r="S19"/>
  <c r="M19"/>
  <c r="O19" s="1"/>
  <c r="K19"/>
  <c r="S18"/>
  <c r="M18"/>
  <c r="O18" s="1"/>
  <c r="K18"/>
  <c r="S17"/>
  <c r="M17"/>
  <c r="O17" s="1"/>
  <c r="K17"/>
  <c r="S16"/>
  <c r="M16"/>
  <c r="O16" s="1"/>
  <c r="K16"/>
  <c r="V16" s="1"/>
  <c r="S15"/>
  <c r="M15"/>
  <c r="O15" s="1"/>
  <c r="K15"/>
  <c r="AD16" i="5"/>
  <c r="Z16"/>
  <c r="X16"/>
  <c r="U16"/>
  <c r="O16"/>
  <c r="Q16" s="1"/>
  <c r="M16"/>
  <c r="AD15"/>
  <c r="U15"/>
  <c r="O15"/>
  <c r="Q15" s="1"/>
  <c r="M15"/>
  <c r="Z15" s="1"/>
  <c r="X20" i="2"/>
  <c r="V20"/>
  <c r="S20"/>
  <c r="O20"/>
  <c r="K20"/>
  <c r="S19"/>
  <c r="O19"/>
  <c r="K19"/>
  <c r="V19" s="1"/>
  <c r="S18"/>
  <c r="O18"/>
  <c r="K18"/>
  <c r="V18" s="1"/>
  <c r="S17"/>
  <c r="O17"/>
  <c r="K17"/>
  <c r="X17" s="1"/>
  <c r="S16"/>
  <c r="O16"/>
  <c r="K16"/>
  <c r="V16" s="1"/>
  <c r="S15"/>
  <c r="O15"/>
  <c r="K15"/>
  <c r="X15" s="1"/>
  <c r="V20" i="26" l="1"/>
  <c r="V19"/>
  <c r="V18"/>
  <c r="V17"/>
  <c r="V15"/>
  <c r="X15" i="5"/>
  <c r="X19" i="2"/>
  <c r="X18"/>
  <c r="V17"/>
  <c r="X16"/>
  <c r="V15"/>
  <c r="N40" i="1"/>
  <c r="N38"/>
  <c r="N37"/>
  <c r="N36"/>
  <c r="N35"/>
  <c r="N34"/>
  <c r="N33"/>
  <c r="N32"/>
  <c r="N30"/>
  <c r="N31"/>
  <c r="I3" i="34" l="1"/>
  <c r="Z13" i="15" l="1"/>
  <c r="X13"/>
  <c r="V13" i="38" l="1"/>
  <c r="W13" i="36"/>
  <c r="X13" i="34"/>
  <c r="V13" i="33"/>
  <c r="V13" i="32"/>
  <c r="V13" i="31"/>
  <c r="V13" i="28"/>
  <c r="V13" i="26"/>
  <c r="V13" i="25"/>
  <c r="X13" i="24"/>
  <c r="V13" i="23"/>
  <c r="V13" i="22"/>
  <c r="V13" i="21"/>
  <c r="V13" i="20"/>
  <c r="V13" i="19"/>
  <c r="V13" i="18"/>
  <c r="V13" i="17"/>
  <c r="V13" i="16"/>
  <c r="V13" i="14"/>
  <c r="V13" i="11"/>
  <c r="V13" i="10"/>
  <c r="V13" i="6"/>
  <c r="X13" i="5"/>
  <c r="V13" i="4"/>
  <c r="V13" i="3"/>
  <c r="V13" i="2"/>
  <c r="X13" i="14" l="1"/>
  <c r="X13" i="11"/>
  <c r="X13" i="10"/>
  <c r="X13" i="6"/>
  <c r="Z13" i="5"/>
  <c r="X13" i="4"/>
  <c r="X13" i="3"/>
  <c r="X13" i="2"/>
  <c r="AD13" i="38"/>
  <c r="AD13" i="36"/>
  <c r="AD13" i="34"/>
  <c r="AD13" i="33"/>
  <c r="AD13" i="32"/>
  <c r="AD13" i="31"/>
  <c r="AD13" i="28"/>
  <c r="AD13" i="26"/>
  <c r="AD13" i="25"/>
  <c r="AD13" i="24"/>
  <c r="AD13" i="23"/>
  <c r="AD13" i="22"/>
  <c r="AD13" i="21"/>
  <c r="AD13" i="20"/>
  <c r="AD13" i="18"/>
  <c r="AD13" i="17"/>
  <c r="AD13" i="16"/>
  <c r="AC13" i="10"/>
  <c r="F16" i="39" l="1"/>
  <c r="W16" i="21" l="1"/>
  <c r="I17" i="34" l="1"/>
  <c r="K16" i="24"/>
  <c r="I16"/>
  <c r="I3"/>
  <c r="J16" l="1"/>
  <c r="L16"/>
  <c r="L3"/>
  <c r="K3"/>
  <c r="J3"/>
  <c r="G16" i="38" l="1"/>
  <c r="H16" i="36"/>
  <c r="O39" i="1" l="1"/>
  <c r="AA16" i="15" l="1"/>
  <c r="Y16"/>
  <c r="W16"/>
  <c r="T16"/>
  <c r="P16"/>
  <c r="L16"/>
  <c r="K16"/>
  <c r="I16"/>
  <c r="AA18" i="5"/>
  <c r="P18"/>
  <c r="L18"/>
  <c r="I18"/>
  <c r="K18" l="1"/>
  <c r="T18"/>
  <c r="M13" i="38" l="1"/>
  <c r="N13" i="36"/>
  <c r="O13" i="34"/>
  <c r="M13" i="33"/>
  <c r="M13" i="32"/>
  <c r="M13" i="31"/>
  <c r="M13" i="28"/>
  <c r="M13" i="26"/>
  <c r="M13" i="25"/>
  <c r="O13" i="24"/>
  <c r="M13" i="23"/>
  <c r="M13" i="22"/>
  <c r="M13" i="21"/>
  <c r="M13" i="20"/>
  <c r="M13" i="19"/>
  <c r="M13" i="18"/>
  <c r="M13" i="17"/>
  <c r="M13" i="16"/>
  <c r="O13" i="15"/>
  <c r="M13" i="14"/>
  <c r="M13" i="11"/>
  <c r="M13" i="10"/>
  <c r="M13" i="6"/>
  <c r="O13" i="5"/>
  <c r="M13" i="4"/>
  <c r="M13" i="3"/>
  <c r="M13" i="2"/>
  <c r="J18" i="5" l="1"/>
  <c r="Z49" i="1"/>
  <c r="N41"/>
  <c r="O49" l="1"/>
  <c r="U18" i="5"/>
  <c r="S18"/>
  <c r="U16" i="15" l="1"/>
  <c r="S16"/>
  <c r="W18" i="5"/>
  <c r="M16" i="15"/>
  <c r="Q16"/>
  <c r="J16"/>
  <c r="M18" i="5"/>
  <c r="Q18"/>
  <c r="O18"/>
  <c r="X18" l="1"/>
  <c r="X16" i="15"/>
  <c r="Z16"/>
  <c r="Y18" i="5"/>
  <c r="Z18" s="1"/>
  <c r="O16" i="15"/>
  <c r="S13" i="38" l="1"/>
  <c r="U13" i="34" l="1"/>
  <c r="Q13"/>
  <c r="M13"/>
  <c r="K13" i="38"/>
  <c r="O13"/>
  <c r="P13" s="1"/>
  <c r="U13" i="24"/>
  <c r="Q13"/>
  <c r="R13" s="1"/>
  <c r="M13"/>
  <c r="S13" i="33"/>
  <c r="O13"/>
  <c r="P13" s="1"/>
  <c r="K13"/>
  <c r="S13" i="32"/>
  <c r="O13"/>
  <c r="P13" s="1"/>
  <c r="K13"/>
  <c r="S13" i="31"/>
  <c r="O13"/>
  <c r="P13" s="1"/>
  <c r="K13"/>
  <c r="S13" i="28"/>
  <c r="O13"/>
  <c r="P13" s="1"/>
  <c r="K13"/>
  <c r="S13" i="26"/>
  <c r="O13"/>
  <c r="P13" s="1"/>
  <c r="K13"/>
  <c r="S13" i="25"/>
  <c r="O13"/>
  <c r="P13" s="1"/>
  <c r="K13"/>
  <c r="S13" i="23"/>
  <c r="O13"/>
  <c r="P13" s="1"/>
  <c r="K13"/>
  <c r="S13" i="22"/>
  <c r="O13"/>
  <c r="P13" s="1"/>
  <c r="K13"/>
  <c r="L13" s="1"/>
  <c r="S13" i="21"/>
  <c r="O13"/>
  <c r="P13" s="1"/>
  <c r="K13"/>
  <c r="S13" i="20"/>
  <c r="O13"/>
  <c r="P13" s="1"/>
  <c r="K13"/>
  <c r="S13" i="19"/>
  <c r="O13"/>
  <c r="P13" s="1"/>
  <c r="K13"/>
  <c r="M3" i="24" l="1"/>
  <c r="M16"/>
  <c r="R13" i="34"/>
  <c r="L13" i="38"/>
  <c r="T13"/>
  <c r="T13" i="31"/>
  <c r="T13" i="32"/>
  <c r="T13" i="21"/>
  <c r="V13" i="24"/>
  <c r="T13" i="22"/>
  <c r="AC13" s="1"/>
  <c r="T13" i="19"/>
  <c r="L13" i="21"/>
  <c r="V13" i="34"/>
  <c r="N13"/>
  <c r="N13" i="24"/>
  <c r="T13" i="20"/>
  <c r="T13" i="23"/>
  <c r="T13" i="25"/>
  <c r="T13" i="28"/>
  <c r="T13" i="26"/>
  <c r="T13" i="33"/>
  <c r="L13" i="32"/>
  <c r="L13" i="33"/>
  <c r="L13" i="31"/>
  <c r="L13" i="28"/>
  <c r="L13" i="26"/>
  <c r="L13" i="25"/>
  <c r="L13" i="23"/>
  <c r="L13" i="20"/>
  <c r="L13" i="19"/>
  <c r="S13" i="18"/>
  <c r="O13"/>
  <c r="P13" s="1"/>
  <c r="K13"/>
  <c r="S13" i="17"/>
  <c r="O13"/>
  <c r="P13" s="1"/>
  <c r="K13"/>
  <c r="L13" s="1"/>
  <c r="S13" i="16"/>
  <c r="O13"/>
  <c r="P13" s="1"/>
  <c r="K13"/>
  <c r="S13" i="14"/>
  <c r="O13"/>
  <c r="P13" s="1"/>
  <c r="K13"/>
  <c r="S13" i="11"/>
  <c r="O13"/>
  <c r="P13" s="1"/>
  <c r="K13"/>
  <c r="S13" i="10"/>
  <c r="O13"/>
  <c r="P13" s="1"/>
  <c r="K13"/>
  <c r="S13" i="6"/>
  <c r="O13"/>
  <c r="P13" s="1"/>
  <c r="K13"/>
  <c r="L3" i="34" l="1"/>
  <c r="K3"/>
  <c r="T13" i="10"/>
  <c r="L13"/>
  <c r="L13" i="14"/>
  <c r="T13"/>
  <c r="L13" i="11"/>
  <c r="T13"/>
  <c r="T13" i="6"/>
  <c r="L13"/>
  <c r="AC13" i="20"/>
  <c r="AC13" i="21"/>
  <c r="AC13" i="31"/>
  <c r="AC13" i="19"/>
  <c r="AC13" i="32"/>
  <c r="AC13" i="23"/>
  <c r="AC13" i="38"/>
  <c r="AC13" i="33"/>
  <c r="AC13" i="24"/>
  <c r="AC13" i="26"/>
  <c r="AC13" i="28"/>
  <c r="AC13" i="25"/>
  <c r="AC13" i="34"/>
  <c r="T13" i="18"/>
  <c r="L13"/>
  <c r="T13" i="17"/>
  <c r="AC13" s="1"/>
  <c r="T13" i="16"/>
  <c r="L13"/>
  <c r="O16" i="11"/>
  <c r="U13" i="5"/>
  <c r="Q13"/>
  <c r="R13" s="1"/>
  <c r="M13"/>
  <c r="S13" i="4"/>
  <c r="O13"/>
  <c r="P13" s="1"/>
  <c r="K13"/>
  <c r="K13" i="2"/>
  <c r="S13" i="3"/>
  <c r="O13"/>
  <c r="P13" s="1"/>
  <c r="K13"/>
  <c r="L13" s="1"/>
  <c r="T55" i="1"/>
  <c r="T54"/>
  <c r="P55"/>
  <c r="P54"/>
  <c r="U15" i="36"/>
  <c r="T13"/>
  <c r="Q15"/>
  <c r="P13"/>
  <c r="Q13" s="1"/>
  <c r="M15"/>
  <c r="O13" i="2"/>
  <c r="P13" s="1"/>
  <c r="S16" i="25"/>
  <c r="W16"/>
  <c r="U16"/>
  <c r="R16"/>
  <c r="Q16"/>
  <c r="O16"/>
  <c r="N16"/>
  <c r="M16"/>
  <c r="K16"/>
  <c r="J16"/>
  <c r="I16"/>
  <c r="H16"/>
  <c r="J17" i="34" l="1"/>
  <c r="L17"/>
  <c r="K17"/>
  <c r="J3"/>
  <c r="V16" i="25"/>
  <c r="AC13" i="11"/>
  <c r="N13" i="5"/>
  <c r="V13"/>
  <c r="T13" i="3"/>
  <c r="L13" i="2"/>
  <c r="L13" i="4"/>
  <c r="T13"/>
  <c r="AC13" i="6"/>
  <c r="AC13" i="16"/>
  <c r="AC13" i="14"/>
  <c r="AC13" i="18"/>
  <c r="Z41" i="1"/>
  <c r="K41"/>
  <c r="J41"/>
  <c r="I41"/>
  <c r="H41"/>
  <c r="M17" i="34" l="1"/>
  <c r="M3"/>
  <c r="AF13" i="5"/>
  <c r="AC13" i="3"/>
  <c r="AC13" i="4"/>
  <c r="Y17" i="44"/>
  <c r="U17"/>
  <c r="R17"/>
  <c r="Q17"/>
  <c r="N17"/>
  <c r="M17"/>
  <c r="Y16"/>
  <c r="U16"/>
  <c r="R16"/>
  <c r="Q16"/>
  <c r="N16"/>
  <c r="M16"/>
  <c r="Z56" i="1" l="1"/>
  <c r="Y15" i="44" s="1"/>
  <c r="V56" i="1"/>
  <c r="U15" i="44" s="1"/>
  <c r="S56" i="1"/>
  <c r="R15" i="44" s="1"/>
  <c r="R56" i="1"/>
  <c r="Q15" i="44" s="1"/>
  <c r="O56" i="1"/>
  <c r="N15" i="44" s="1"/>
  <c r="N56" i="1"/>
  <c r="M15" i="44" s="1"/>
  <c r="L46" i="1"/>
  <c r="W46" s="1"/>
  <c r="L45"/>
  <c r="W45" s="1"/>
  <c r="L43"/>
  <c r="L40"/>
  <c r="L38"/>
  <c r="W38" s="1"/>
  <c r="L37"/>
  <c r="W37" s="1"/>
  <c r="L36"/>
  <c r="W36" s="1"/>
  <c r="L35"/>
  <c r="W35" s="1"/>
  <c r="L34"/>
  <c r="W34" s="1"/>
  <c r="L33"/>
  <c r="W33" s="1"/>
  <c r="L32"/>
  <c r="W32" s="1"/>
  <c r="L31"/>
  <c r="W31" s="1"/>
  <c r="L30"/>
  <c r="W30" s="1"/>
  <c r="T34"/>
  <c r="S17" i="44"/>
  <c r="O17"/>
  <c r="R49" i="1"/>
  <c r="S49"/>
  <c r="V49"/>
  <c r="T48"/>
  <c r="T47"/>
  <c r="T46"/>
  <c r="P46"/>
  <c r="T45"/>
  <c r="P45"/>
  <c r="T44"/>
  <c r="T43"/>
  <c r="P43"/>
  <c r="V39"/>
  <c r="T38"/>
  <c r="T37"/>
  <c r="T36"/>
  <c r="T35"/>
  <c r="T33"/>
  <c r="T32"/>
  <c r="T31"/>
  <c r="T30"/>
  <c r="P38"/>
  <c r="P37"/>
  <c r="P36"/>
  <c r="P35"/>
  <c r="P34"/>
  <c r="P33"/>
  <c r="P32"/>
  <c r="P31"/>
  <c r="P40" l="1"/>
  <c r="P41" s="1"/>
  <c r="W40"/>
  <c r="P47"/>
  <c r="L44"/>
  <c r="W44" s="1"/>
  <c r="H49"/>
  <c r="L47"/>
  <c r="W47" s="1"/>
  <c r="O41"/>
  <c r="O50" s="1"/>
  <c r="L41"/>
  <c r="P56"/>
  <c r="O16" i="44"/>
  <c r="T56" i="1"/>
  <c r="S15" i="44" s="1"/>
  <c r="S16"/>
  <c r="T49" i="1"/>
  <c r="T39"/>
  <c r="G16" i="44" l="1"/>
  <c r="P48" i="1"/>
  <c r="I49"/>
  <c r="O15" i="44"/>
  <c r="S41" i="1"/>
  <c r="R41"/>
  <c r="T40"/>
  <c r="T41" s="1"/>
  <c r="W16" i="38"/>
  <c r="U16"/>
  <c r="R16"/>
  <c r="Q16"/>
  <c r="N16"/>
  <c r="M16"/>
  <c r="J16"/>
  <c r="I16"/>
  <c r="H16"/>
  <c r="S16"/>
  <c r="X16" i="36"/>
  <c r="V16"/>
  <c r="S16"/>
  <c r="R16"/>
  <c r="O16"/>
  <c r="N16"/>
  <c r="K16"/>
  <c r="J16"/>
  <c r="I16"/>
  <c r="T16"/>
  <c r="L13"/>
  <c r="AC13" s="1"/>
  <c r="S16" i="33"/>
  <c r="K16"/>
  <c r="S16" i="32"/>
  <c r="S16" i="31"/>
  <c r="K16"/>
  <c r="S23" i="26"/>
  <c r="W16" i="33"/>
  <c r="U16"/>
  <c r="R16"/>
  <c r="Q16"/>
  <c r="N16"/>
  <c r="M16"/>
  <c r="J16"/>
  <c r="I16"/>
  <c r="H16"/>
  <c r="W16" i="32"/>
  <c r="U16"/>
  <c r="R16"/>
  <c r="Q16"/>
  <c r="N16"/>
  <c r="M16"/>
  <c r="J16"/>
  <c r="I16"/>
  <c r="H16"/>
  <c r="W16" i="31"/>
  <c r="U16"/>
  <c r="R16"/>
  <c r="Q16"/>
  <c r="N16"/>
  <c r="M16"/>
  <c r="J16"/>
  <c r="I16"/>
  <c r="H16"/>
  <c r="W16" i="28"/>
  <c r="U16"/>
  <c r="R16"/>
  <c r="Q16"/>
  <c r="O16"/>
  <c r="N16"/>
  <c r="M16"/>
  <c r="J16"/>
  <c r="I16"/>
  <c r="H16"/>
  <c r="W23" i="26"/>
  <c r="U23"/>
  <c r="R23"/>
  <c r="Q23"/>
  <c r="N23"/>
  <c r="M23"/>
  <c r="J23"/>
  <c r="I23"/>
  <c r="H23"/>
  <c r="W16" i="23"/>
  <c r="U16"/>
  <c r="R16"/>
  <c r="Q16"/>
  <c r="N16"/>
  <c r="M16"/>
  <c r="J16"/>
  <c r="I16"/>
  <c r="H16"/>
  <c r="W16" i="22"/>
  <c r="U16"/>
  <c r="R16"/>
  <c r="Q16"/>
  <c r="N16"/>
  <c r="M16"/>
  <c r="J16"/>
  <c r="I16"/>
  <c r="H16"/>
  <c r="U16" i="21"/>
  <c r="R16"/>
  <c r="Q16"/>
  <c r="N16"/>
  <c r="M16"/>
  <c r="J16"/>
  <c r="I16"/>
  <c r="H16"/>
  <c r="W16" i="20"/>
  <c r="U16"/>
  <c r="R16"/>
  <c r="Q16"/>
  <c r="N16"/>
  <c r="M16"/>
  <c r="J16"/>
  <c r="I16"/>
  <c r="H16"/>
  <c r="W16" i="19"/>
  <c r="U16"/>
  <c r="R16"/>
  <c r="Q16"/>
  <c r="N16"/>
  <c r="M16"/>
  <c r="J16"/>
  <c r="I16"/>
  <c r="H16"/>
  <c r="W16" i="18"/>
  <c r="U16"/>
  <c r="R16"/>
  <c r="Q16"/>
  <c r="N16"/>
  <c r="M16"/>
  <c r="J16"/>
  <c r="I16"/>
  <c r="H16"/>
  <c r="W16" i="17"/>
  <c r="U16"/>
  <c r="R16"/>
  <c r="Q16"/>
  <c r="N16"/>
  <c r="M16"/>
  <c r="J16"/>
  <c r="I16"/>
  <c r="H16"/>
  <c r="N16" i="16"/>
  <c r="M16"/>
  <c r="J16"/>
  <c r="I16"/>
  <c r="H16"/>
  <c r="U13" i="15"/>
  <c r="Q13"/>
  <c r="R13" s="1"/>
  <c r="M13"/>
  <c r="Y16" i="10"/>
  <c r="W16"/>
  <c r="U16"/>
  <c r="R16"/>
  <c r="Q16"/>
  <c r="N16"/>
  <c r="M16"/>
  <c r="J16"/>
  <c r="I16"/>
  <c r="H16"/>
  <c r="Y16" i="6"/>
  <c r="W16"/>
  <c r="U16"/>
  <c r="R16"/>
  <c r="N16"/>
  <c r="M16"/>
  <c r="J16"/>
  <c r="I16"/>
  <c r="H16"/>
  <c r="Y16" i="4"/>
  <c r="W16"/>
  <c r="U16"/>
  <c r="R16"/>
  <c r="Q16"/>
  <c r="N16"/>
  <c r="M16"/>
  <c r="J16"/>
  <c r="I16"/>
  <c r="H16"/>
  <c r="Y16" i="3"/>
  <c r="W16"/>
  <c r="U16"/>
  <c r="R16"/>
  <c r="Q16"/>
  <c r="N16"/>
  <c r="M16"/>
  <c r="J16"/>
  <c r="I16"/>
  <c r="H16"/>
  <c r="I15" i="1" s="1"/>
  <c r="S16" i="23"/>
  <c r="S16" i="22"/>
  <c r="K16"/>
  <c r="S16" i="21"/>
  <c r="S16" i="20"/>
  <c r="K16"/>
  <c r="S16" i="19"/>
  <c r="S16" i="18"/>
  <c r="K16"/>
  <c r="S16" i="17"/>
  <c r="K16" i="16"/>
  <c r="S16" i="10"/>
  <c r="O16"/>
  <c r="S16" i="6"/>
  <c r="K16"/>
  <c r="S16" i="4"/>
  <c r="O16"/>
  <c r="V16" i="22" l="1"/>
  <c r="V16" i="31"/>
  <c r="V16" i="23"/>
  <c r="V16" i="33"/>
  <c r="V16" i="20"/>
  <c r="V16" i="18"/>
  <c r="N13" i="15"/>
  <c r="V13"/>
  <c r="X16" i="6"/>
  <c r="V16"/>
  <c r="J49" i="1"/>
  <c r="K49"/>
  <c r="L48"/>
  <c r="H17" i="44"/>
  <c r="N49" i="1"/>
  <c r="P44"/>
  <c r="H16" i="44"/>
  <c r="I56" i="1"/>
  <c r="G17" i="44"/>
  <c r="H56" i="1"/>
  <c r="G15" i="44" s="1"/>
  <c r="V41" i="1"/>
  <c r="W41" s="1"/>
  <c r="K16" i="3"/>
  <c r="S16"/>
  <c r="O16"/>
  <c r="O23" i="26"/>
  <c r="O16" i="32"/>
  <c r="O16" i="38"/>
  <c r="K16" i="17"/>
  <c r="V16" s="1"/>
  <c r="K16" i="32"/>
  <c r="V16" s="1"/>
  <c r="K16" i="23"/>
  <c r="K16" i="10"/>
  <c r="X16" s="1"/>
  <c r="K16" i="19"/>
  <c r="V16" s="1"/>
  <c r="K16" i="21"/>
  <c r="V16" s="1"/>
  <c r="K23" i="26"/>
  <c r="V23" s="1"/>
  <c r="K16" i="38"/>
  <c r="V16" s="1"/>
  <c r="L16" i="36"/>
  <c r="W16" s="1"/>
  <c r="P16"/>
  <c r="O16" i="21"/>
  <c r="O16" i="22"/>
  <c r="O16" i="23"/>
  <c r="O16" i="20"/>
  <c r="O16" i="19"/>
  <c r="O16" i="18"/>
  <c r="O16" i="17"/>
  <c r="O16" i="16"/>
  <c r="O16" i="6"/>
  <c r="K16" i="4"/>
  <c r="O16" i="33"/>
  <c r="O16" i="31"/>
  <c r="AF13" i="15" l="1"/>
  <c r="V16" i="10"/>
  <c r="V16" i="3"/>
  <c r="X16" i="4"/>
  <c r="V16"/>
  <c r="X16" i="3"/>
  <c r="L49" i="1"/>
  <c r="W49" s="1"/>
  <c r="P49"/>
  <c r="H15" i="44"/>
  <c r="I16"/>
  <c r="J56" i="1"/>
  <c r="I15" i="44" s="1"/>
  <c r="I17"/>
  <c r="Y22" i="2"/>
  <c r="W22"/>
  <c r="U22"/>
  <c r="R22"/>
  <c r="S14" i="1" s="1"/>
  <c r="Q22" i="2"/>
  <c r="R14" i="1" s="1"/>
  <c r="J22" i="2"/>
  <c r="K14" i="1" s="1"/>
  <c r="I22" i="2"/>
  <c r="J14" i="1" s="1"/>
  <c r="S22" i="2"/>
  <c r="T14" i="1" s="1"/>
  <c r="K22" i="2"/>
  <c r="L14" i="1" l="1"/>
  <c r="X22" i="2"/>
  <c r="V22"/>
  <c r="J16" i="44"/>
  <c r="K56" i="1"/>
  <c r="J15" i="44" s="1"/>
  <c r="L54" i="1"/>
  <c r="W54" s="1"/>
  <c r="V16" i="44" s="1"/>
  <c r="J17"/>
  <c r="L55" i="1"/>
  <c r="S16" i="28"/>
  <c r="K16"/>
  <c r="V16" s="1"/>
  <c r="K17" i="44" l="1"/>
  <c r="W55" i="1"/>
  <c r="V17" i="44" s="1"/>
  <c r="K16"/>
  <c r="L56" i="1"/>
  <c r="O22" i="2"/>
  <c r="Z24" i="1"/>
  <c r="S24"/>
  <c r="P24"/>
  <c r="O24"/>
  <c r="K24"/>
  <c r="J24"/>
  <c r="Y16" i="11"/>
  <c r="Z22" i="1" s="1"/>
  <c r="W16" i="11"/>
  <c r="U16"/>
  <c r="S16"/>
  <c r="T22" i="1" s="1"/>
  <c r="R16" i="11"/>
  <c r="S22" i="1" s="1"/>
  <c r="Q16" i="11"/>
  <c r="R22" i="1" s="1"/>
  <c r="N16" i="11"/>
  <c r="O22" i="1" s="1"/>
  <c r="M16" i="11"/>
  <c r="N22" i="1" s="1"/>
  <c r="K16" i="11"/>
  <c r="J16"/>
  <c r="K22" i="1" s="1"/>
  <c r="I16" i="11"/>
  <c r="J22" i="1" s="1"/>
  <c r="H16" i="11"/>
  <c r="I22" i="1" s="1"/>
  <c r="X21"/>
  <c r="T21"/>
  <c r="S21"/>
  <c r="P21"/>
  <c r="O21"/>
  <c r="L21"/>
  <c r="I21"/>
  <c r="X24"/>
  <c r="T24"/>
  <c r="L24"/>
  <c r="I24"/>
  <c r="Z21"/>
  <c r="V21"/>
  <c r="R21"/>
  <c r="N21"/>
  <c r="K21"/>
  <c r="J21"/>
  <c r="V16"/>
  <c r="Z15"/>
  <c r="X15"/>
  <c r="V15"/>
  <c r="T15"/>
  <c r="S15"/>
  <c r="R15"/>
  <c r="P15"/>
  <c r="O15"/>
  <c r="N15"/>
  <c r="L15"/>
  <c r="K15"/>
  <c r="J15"/>
  <c r="P16"/>
  <c r="Z16"/>
  <c r="X16"/>
  <c r="S16"/>
  <c r="R16"/>
  <c r="O16"/>
  <c r="N16"/>
  <c r="L16"/>
  <c r="K16"/>
  <c r="J16"/>
  <c r="I16"/>
  <c r="V16" i="11" l="1"/>
  <c r="X16"/>
  <c r="Y24" i="1"/>
  <c r="P14"/>
  <c r="W21"/>
  <c r="W15"/>
  <c r="Y15"/>
  <c r="K15" i="44"/>
  <c r="W56" i="1"/>
  <c r="V15" i="44" s="1"/>
  <c r="Y21" i="1"/>
  <c r="Y16"/>
  <c r="W16"/>
  <c r="X22"/>
  <c r="V22"/>
  <c r="P22"/>
  <c r="L22"/>
  <c r="T16"/>
  <c r="W22" l="1"/>
  <c r="Y22"/>
  <c r="S13" i="2" l="1"/>
  <c r="T13" s="1"/>
  <c r="AC13" l="1"/>
  <c r="Y16" i="14"/>
  <c r="Z23" i="1" s="1"/>
  <c r="T20"/>
  <c r="Z20"/>
  <c r="X20"/>
  <c r="V20"/>
  <c r="S20"/>
  <c r="P20"/>
  <c r="O20"/>
  <c r="N20"/>
  <c r="L20"/>
  <c r="K20"/>
  <c r="J20"/>
  <c r="I20"/>
  <c r="W20" l="1"/>
  <c r="Y20"/>
  <c r="Z39"/>
  <c r="Z50" s="1"/>
  <c r="S39"/>
  <c r="S50" s="1"/>
  <c r="R14" i="44" s="1"/>
  <c r="R39" i="1"/>
  <c r="R50" s="1"/>
  <c r="K39"/>
  <c r="K50" s="1"/>
  <c r="J39"/>
  <c r="J50" s="1"/>
  <c r="I39"/>
  <c r="H39"/>
  <c r="W16" i="14"/>
  <c r="U16"/>
  <c r="S16"/>
  <c r="T23" i="1" s="1"/>
  <c r="T25" s="1"/>
  <c r="R16" i="14"/>
  <c r="S23" i="1" s="1"/>
  <c r="S25" s="1"/>
  <c r="Q16" i="14"/>
  <c r="R23" i="1" s="1"/>
  <c r="O16" i="14"/>
  <c r="N16"/>
  <c r="O23" i="1" s="1"/>
  <c r="M16" i="14"/>
  <c r="N23" i="1" s="1"/>
  <c r="K16" i="14"/>
  <c r="J16"/>
  <c r="K23" i="1" s="1"/>
  <c r="I16" i="14"/>
  <c r="J23" i="1" s="1"/>
  <c r="J25" s="1"/>
  <c r="H16" i="14"/>
  <c r="I23" i="1" s="1"/>
  <c r="X16" i="14" l="1"/>
  <c r="V16"/>
  <c r="I50" i="1"/>
  <c r="H14" i="44" s="1"/>
  <c r="H50" i="1"/>
  <c r="G14" i="44" s="1"/>
  <c r="Q14"/>
  <c r="T50" i="1"/>
  <c r="S14" i="44" s="1"/>
  <c r="P23" i="1"/>
  <c r="P25" s="1"/>
  <c r="V23"/>
  <c r="L23"/>
  <c r="X23"/>
  <c r="L39"/>
  <c r="W39" s="1"/>
  <c r="J14" i="44"/>
  <c r="Y14"/>
  <c r="I14"/>
  <c r="V50" i="1"/>
  <c r="N14" i="44"/>
  <c r="Z25" i="1"/>
  <c r="O25"/>
  <c r="K25"/>
  <c r="I25"/>
  <c r="T17"/>
  <c r="S17"/>
  <c r="P17"/>
  <c r="O17"/>
  <c r="L17"/>
  <c r="K17"/>
  <c r="J17"/>
  <c r="L25" l="1"/>
  <c r="Y23"/>
  <c r="W23"/>
  <c r="X25"/>
  <c r="U14" i="44"/>
  <c r="L50" i="1"/>
  <c r="W50" s="1"/>
  <c r="V14" i="44" s="1"/>
  <c r="Z18" i="1"/>
  <c r="Z26" s="1"/>
  <c r="T18"/>
  <c r="P18"/>
  <c r="N22" i="2"/>
  <c r="O14" i="1" s="1"/>
  <c r="M22" i="2"/>
  <c r="N14" i="1" s="1"/>
  <c r="H22" i="2"/>
  <c r="Y25" i="1" l="1"/>
  <c r="I18"/>
  <c r="I26" s="1"/>
  <c r="H13" i="44" s="1"/>
  <c r="K14"/>
  <c r="P26" i="1"/>
  <c r="T26"/>
  <c r="S13" i="44" s="1"/>
  <c r="O18" i="1"/>
  <c r="O26" s="1"/>
  <c r="Z57"/>
  <c r="Y13" i="44"/>
  <c r="X18" i="1"/>
  <c r="S18"/>
  <c r="S26" s="1"/>
  <c r="J18"/>
  <c r="K18"/>
  <c r="K26" s="1"/>
  <c r="J13" i="44" s="1"/>
  <c r="Z58" i="1"/>
  <c r="Y18" i="44" s="1"/>
  <c r="L18" i="1"/>
  <c r="Y18" l="1"/>
  <c r="O13" i="44"/>
  <c r="T57" i="1"/>
  <c r="X26"/>
  <c r="L26"/>
  <c r="T58"/>
  <c r="S18" i="44" s="1"/>
  <c r="N13"/>
  <c r="O58" i="1"/>
  <c r="N18" i="44" s="1"/>
  <c r="O57" i="1"/>
  <c r="Q16" i="6"/>
  <c r="R20" i="1" s="1"/>
  <c r="J26"/>
  <c r="J58" s="1"/>
  <c r="I18" i="44" s="1"/>
  <c r="S58" i="1"/>
  <c r="R18" i="44" s="1"/>
  <c r="R13"/>
  <c r="S57" i="1"/>
  <c r="K58"/>
  <c r="J18" i="44" s="1"/>
  <c r="K57" i="1"/>
  <c r="I57"/>
  <c r="I58"/>
  <c r="H18" i="44" s="1"/>
  <c r="Y26" i="1" l="1"/>
  <c r="R24"/>
  <c r="R25" s="1"/>
  <c r="R17"/>
  <c r="R18" s="1"/>
  <c r="L57"/>
  <c r="W13" i="44"/>
  <c r="K13"/>
  <c r="L58" i="1"/>
  <c r="K18" i="44" s="1"/>
  <c r="X58" i="1"/>
  <c r="J57"/>
  <c r="I13" i="44"/>
  <c r="V15" i="34" l="1"/>
  <c r="N15"/>
  <c r="L21" i="26"/>
  <c r="T19"/>
  <c r="L20"/>
  <c r="T17"/>
  <c r="L18"/>
  <c r="T16"/>
  <c r="T20"/>
  <c r="T15"/>
  <c r="L16"/>
  <c r="L19"/>
  <c r="L15"/>
  <c r="L17"/>
  <c r="T21"/>
  <c r="T18"/>
  <c r="N16" i="5"/>
  <c r="V16"/>
  <c r="V15"/>
  <c r="N15"/>
  <c r="T20" i="2"/>
  <c r="L20"/>
  <c r="T19"/>
  <c r="L19"/>
  <c r="T18"/>
  <c r="L18"/>
  <c r="T17"/>
  <c r="L17"/>
  <c r="T16"/>
  <c r="L16"/>
  <c r="T15"/>
  <c r="L15"/>
  <c r="M57" i="1"/>
  <c r="U57"/>
  <c r="L22" i="2"/>
  <c r="T22"/>
  <c r="N16" i="15"/>
  <c r="V16"/>
  <c r="U24" i="1"/>
  <c r="M24"/>
  <c r="L16" i="14"/>
  <c r="T16"/>
  <c r="M23" i="1"/>
  <c r="U23"/>
  <c r="L16" i="11"/>
  <c r="T16"/>
  <c r="M22" i="1"/>
  <c r="U22"/>
  <c r="L16" i="10"/>
  <c r="T16"/>
  <c r="M21" i="1"/>
  <c r="U21"/>
  <c r="L16" i="6"/>
  <c r="T16"/>
  <c r="U20" i="1"/>
  <c r="M20"/>
  <c r="M25"/>
  <c r="U25"/>
  <c r="V18" i="5"/>
  <c r="N18"/>
  <c r="M17" i="1"/>
  <c r="U17"/>
  <c r="T16" i="3"/>
  <c r="L16"/>
  <c r="M15" i="1"/>
  <c r="U15"/>
  <c r="U14"/>
  <c r="M14"/>
  <c r="M26"/>
  <c r="T16" i="4"/>
  <c r="L16"/>
  <c r="M16" i="1"/>
  <c r="U16"/>
  <c r="U18"/>
  <c r="M18"/>
  <c r="U26"/>
  <c r="Y58"/>
  <c r="X18" i="44" s="1"/>
  <c r="M58" i="1"/>
  <c r="Q16" i="16"/>
  <c r="R16"/>
  <c r="T16" i="31"/>
  <c r="M43" i="1"/>
  <c r="R26"/>
  <c r="R57" s="1"/>
  <c r="N24"/>
  <c r="N25" s="1"/>
  <c r="N17"/>
  <c r="N18" s="1"/>
  <c r="W18" i="44"/>
  <c r="L16" i="22"/>
  <c r="T16" i="21"/>
  <c r="L16" i="19"/>
  <c r="T23" i="26"/>
  <c r="T16" i="23"/>
  <c r="T16" i="22"/>
  <c r="L23" i="26"/>
  <c r="L16" i="20"/>
  <c r="L16" i="25"/>
  <c r="T16" i="19"/>
  <c r="T16" i="25"/>
  <c r="T16" i="18"/>
  <c r="L16" i="21"/>
  <c r="L16" i="23"/>
  <c r="T16" i="20"/>
  <c r="T16" i="17"/>
  <c r="L16"/>
  <c r="L16" i="18"/>
  <c r="T16" i="28"/>
  <c r="L16" i="32"/>
  <c r="T16"/>
  <c r="L16" i="33"/>
  <c r="L16" i="31"/>
  <c r="T16" i="38"/>
  <c r="L16" i="28"/>
  <c r="T16" i="33"/>
  <c r="L16" i="38"/>
  <c r="L16" i="16"/>
  <c r="X13" i="44"/>
  <c r="U55" i="1"/>
  <c r="T17" i="44" s="1"/>
  <c r="U47" i="1"/>
  <c r="U43"/>
  <c r="U38"/>
  <c r="U34"/>
  <c r="U30"/>
  <c r="U44"/>
  <c r="U35"/>
  <c r="U50"/>
  <c r="T14" i="44" s="1"/>
  <c r="U46" i="1"/>
  <c r="U41"/>
  <c r="U37"/>
  <c r="U33"/>
  <c r="U39"/>
  <c r="U49"/>
  <c r="U45"/>
  <c r="U40"/>
  <c r="U36"/>
  <c r="U32"/>
  <c r="U48"/>
  <c r="U31"/>
  <c r="M49"/>
  <c r="M45"/>
  <c r="M40"/>
  <c r="M36"/>
  <c r="M32"/>
  <c r="M41"/>
  <c r="M48"/>
  <c r="M44"/>
  <c r="M39"/>
  <c r="M35"/>
  <c r="M31"/>
  <c r="M37"/>
  <c r="M55"/>
  <c r="L17" i="44" s="1"/>
  <c r="M47" i="1"/>
  <c r="M38"/>
  <c r="M34"/>
  <c r="M30"/>
  <c r="M50"/>
  <c r="L14" i="44" s="1"/>
  <c r="M46" i="1"/>
  <c r="M33"/>
  <c r="U58" l="1"/>
  <c r="T18" i="44" s="1"/>
  <c r="L18"/>
  <c r="Q16" i="24"/>
  <c r="P16"/>
  <c r="O16"/>
  <c r="N16"/>
  <c r="N3"/>
  <c r="N3" i="34"/>
  <c r="Q17"/>
  <c r="O17"/>
  <c r="N17"/>
  <c r="P17"/>
  <c r="O3" i="24"/>
  <c r="P3"/>
  <c r="Q3"/>
  <c r="O3" i="34"/>
  <c r="Q3"/>
  <c r="P3"/>
  <c r="S16" i="16"/>
  <c r="T16" s="1"/>
  <c r="R58" i="1"/>
  <c r="Q18" i="44" s="1"/>
  <c r="Q13"/>
  <c r="V24" i="1"/>
  <c r="W24" s="1"/>
  <c r="N26"/>
  <c r="N39" l="1"/>
  <c r="N50" s="1"/>
  <c r="M14" i="44" s="1"/>
  <c r="P30" i="1"/>
  <c r="W16" i="16"/>
  <c r="U16"/>
  <c r="V16" s="1"/>
  <c r="V25" i="1"/>
  <c r="W25" s="1"/>
  <c r="M13" i="44"/>
  <c r="V18" i="1"/>
  <c r="W18" s="1"/>
  <c r="L13" i="44"/>
  <c r="P39" i="1" l="1"/>
  <c r="N57"/>
  <c r="N58"/>
  <c r="M18" i="44" s="1"/>
  <c r="V26" i="1"/>
  <c r="W26" s="1"/>
  <c r="T13" i="44"/>
  <c r="P50" i="1" l="1"/>
  <c r="V13" i="44"/>
  <c r="V58" i="1"/>
  <c r="W58" s="1"/>
  <c r="V57"/>
  <c r="W57" s="1"/>
  <c r="U13" i="44"/>
  <c r="O14" l="1"/>
  <c r="P57" i="1"/>
  <c r="P58"/>
  <c r="R15" i="34" s="1"/>
  <c r="AC15" s="1"/>
  <c r="U18" i="44"/>
  <c r="V18"/>
  <c r="P15" i="26" l="1"/>
  <c r="AC15" s="1"/>
  <c r="P20"/>
  <c r="AC20" s="1"/>
  <c r="P18"/>
  <c r="AC18" s="1"/>
  <c r="P16"/>
  <c r="AC16" s="1"/>
  <c r="P21"/>
  <c r="AC21" s="1"/>
  <c r="P19"/>
  <c r="AC19" s="1"/>
  <c r="P17"/>
  <c r="AC17" s="1"/>
  <c r="R15" i="5"/>
  <c r="AF15" s="1"/>
  <c r="R16"/>
  <c r="AF16" s="1"/>
  <c r="P19" i="2"/>
  <c r="AC19" s="1"/>
  <c r="P20"/>
  <c r="AC20" s="1"/>
  <c r="P17"/>
  <c r="AC17" s="1"/>
  <c r="P18"/>
  <c r="AC18" s="1"/>
  <c r="P15"/>
  <c r="AC15" s="1"/>
  <c r="P16"/>
  <c r="AC16" s="1"/>
  <c r="Q46" i="1"/>
  <c r="Q47"/>
  <c r="Q41"/>
  <c r="Q40"/>
  <c r="Q32"/>
  <c r="Q37"/>
  <c r="P16" i="31"/>
  <c r="P16" i="21"/>
  <c r="P16" i="18"/>
  <c r="P16" i="32"/>
  <c r="P16" i="25"/>
  <c r="P16" i="28"/>
  <c r="P16" i="33"/>
  <c r="P16" i="23"/>
  <c r="P16" i="22"/>
  <c r="P16" i="20"/>
  <c r="P16" i="17"/>
  <c r="P16" i="19"/>
  <c r="Q38" i="1"/>
  <c r="Q55"/>
  <c r="P17" i="44" s="1"/>
  <c r="P16" i="38"/>
  <c r="P23" i="26"/>
  <c r="Q16" i="36"/>
  <c r="P16" i="16"/>
  <c r="Q36" i="1"/>
  <c r="Q44"/>
  <c r="Q48"/>
  <c r="Q49"/>
  <c r="Q43"/>
  <c r="Q45"/>
  <c r="Q35"/>
  <c r="Q34"/>
  <c r="Q56"/>
  <c r="P15" i="44" s="1"/>
  <c r="Q54" i="1"/>
  <c r="P16" i="44" s="1"/>
  <c r="Q57" i="1"/>
  <c r="P22" i="2"/>
  <c r="R16" i="15"/>
  <c r="Q24" i="1" s="1"/>
  <c r="P16" i="14"/>
  <c r="Q23" i="1" s="1"/>
  <c r="P16" i="11"/>
  <c r="Q22" i="1" s="1"/>
  <c r="P16" i="10"/>
  <c r="Q21" i="1" s="1"/>
  <c r="P16" i="6"/>
  <c r="Q20" i="1" s="1"/>
  <c r="Q25"/>
  <c r="R18" i="5"/>
  <c r="P16" i="3"/>
  <c r="Q15" i="1" s="1"/>
  <c r="P16" i="4"/>
  <c r="Q16" i="1" s="1"/>
  <c r="Q18"/>
  <c r="Q26"/>
  <c r="P13" i="44" s="1"/>
  <c r="Q31" i="1"/>
  <c r="Q30"/>
  <c r="Q50"/>
  <c r="P14" i="44" s="1"/>
  <c r="Q33" i="1"/>
  <c r="Q39"/>
  <c r="O18" i="44"/>
  <c r="Q58" i="1"/>
  <c r="P18" i="44" s="1"/>
  <c r="AG13" i="15" l="1"/>
  <c r="H24" i="1" s="1"/>
  <c r="Q17"/>
  <c r="AD13" i="5"/>
  <c r="AG13"/>
  <c r="AD13" i="19"/>
  <c r="U17" i="34"/>
  <c r="T3"/>
  <c r="S17"/>
  <c r="U3"/>
  <c r="T17"/>
  <c r="S3"/>
  <c r="W16" i="24"/>
  <c r="X16" s="1"/>
  <c r="R3"/>
  <c r="T3"/>
  <c r="Y3"/>
  <c r="V16"/>
  <c r="S16"/>
  <c r="W3"/>
  <c r="R16"/>
  <c r="S3"/>
  <c r="U3"/>
  <c r="T16"/>
  <c r="U16"/>
  <c r="X3"/>
  <c r="Y16"/>
  <c r="V3"/>
  <c r="X3" i="34"/>
  <c r="Y17"/>
  <c r="W3"/>
  <c r="Y3"/>
  <c r="W17"/>
  <c r="X17" s="1"/>
  <c r="V3"/>
  <c r="R3"/>
  <c r="V17"/>
  <c r="R17"/>
  <c r="AD13" i="14"/>
  <c r="H23" i="1" s="1"/>
  <c r="AD13" i="11"/>
  <c r="H22" i="1" s="1"/>
  <c r="AD13" i="10"/>
  <c r="H21" i="1" s="1"/>
  <c r="AD13" i="6"/>
  <c r="H20" i="1" s="1"/>
  <c r="AD13" i="3"/>
  <c r="AD13" i="2"/>
  <c r="Q14" i="1"/>
  <c r="AD13" i="4"/>
  <c r="AD1" i="3"/>
  <c r="H25" i="1" l="1"/>
  <c r="H16"/>
  <c r="H15"/>
  <c r="H18" l="1"/>
  <c r="H26" s="1"/>
  <c r="H58" s="1"/>
  <c r="G18" i="44" s="1"/>
  <c r="H57" i="1" l="1"/>
  <c r="G13" i="44"/>
</calcChain>
</file>

<file path=xl/sharedStrings.xml><?xml version="1.0" encoding="utf-8"?>
<sst xmlns="http://schemas.openxmlformats.org/spreadsheetml/2006/main" count="3012" uniqueCount="741">
  <si>
    <t>Category &amp; Name
of the
Shareholders
(I)</t>
  </si>
  <si>
    <t>PAN 
(II)</t>
  </si>
  <si>
    <t>Nos. Of shareholders
(III)</t>
  </si>
  <si>
    <t>No. of fully paid up equity shares held
(IV)</t>
  </si>
  <si>
    <t>No. Of Partly paid-up equity shares held
(V)</t>
  </si>
  <si>
    <t>No. Of shares underlying Depository Receipts
(VI)</t>
  </si>
  <si>
    <t>Total nos. shares
held
(VII) = (IV)+(V)+ (VI)</t>
  </si>
  <si>
    <t>Shareholding as a % of total no. of shares (calculated as per SCRR, 1957)
(VIII)
As a % of (A+B+C2)</t>
  </si>
  <si>
    <t>Number of Voting Rights held in each class of securities
(IX)</t>
  </si>
  <si>
    <t>No. Of Shares Underlying Outstanding convertible securities
(X)</t>
  </si>
  <si>
    <t>No. Of Warrants
(Xi)</t>
  </si>
  <si>
    <t>Shareholding , as a % assuming full conversion of convertible securities ( as a percentage of diluted share capital)
(XI)= (VII)+(X)
As a % of (A+B+C2)</t>
  </si>
  <si>
    <t>Number of Locked in shares
(XII)</t>
  </si>
  <si>
    <t>Number of Shares pledged or otherwise encumbered
(XIII)</t>
  </si>
  <si>
    <t>Number of equity shares held in dematerialized form 
(XIV)</t>
  </si>
  <si>
    <t>No of Voting (XIV)
Rights</t>
  </si>
  <si>
    <t>Total as
a % of
Total
Voting
rights</t>
  </si>
  <si>
    <t>Class
eg:
X</t>
  </si>
  <si>
    <t>Class
eg:y</t>
  </si>
  <si>
    <t>Total</t>
  </si>
  <si>
    <t>No.
(a)</t>
  </si>
  <si>
    <t>As a % of total Shares held
(b)</t>
  </si>
  <si>
    <t>A</t>
  </si>
  <si>
    <t>Table II - Statement showing shareholding pattern of the Promoter and Promoter Group</t>
  </si>
  <si>
    <t>(1)</t>
  </si>
  <si>
    <t>Indian</t>
  </si>
  <si>
    <t>(a)</t>
  </si>
  <si>
    <t>Individuals/Hindu undivided Family</t>
  </si>
  <si>
    <t>(b)</t>
  </si>
  <si>
    <t>Central  Government/ State Government(s)</t>
  </si>
  <si>
    <t>(c)</t>
  </si>
  <si>
    <t>Financial  Institutions/ Banks</t>
  </si>
  <si>
    <t>(d)</t>
  </si>
  <si>
    <t>Any Other (specify)</t>
  </si>
  <si>
    <t>Category</t>
  </si>
  <si>
    <t>Sub-Total (A)(1)</t>
  </si>
  <si>
    <t>(2)</t>
  </si>
  <si>
    <t>Foreign</t>
  </si>
  <si>
    <t>Individuals (NonResident Individuals/ Foreign Individuals)</t>
  </si>
  <si>
    <t>Government</t>
  </si>
  <si>
    <t>Institutions</t>
  </si>
  <si>
    <t>Foreign Portfolio Investor</t>
  </si>
  <si>
    <t>(e)</t>
  </si>
  <si>
    <t>Sub-Total (A)(2)</t>
  </si>
  <si>
    <t>B</t>
  </si>
  <si>
    <t>Table III - Statement showing shareholding pattern of the Public shareholder</t>
  </si>
  <si>
    <t>Mutual Funds</t>
  </si>
  <si>
    <t>Venture Capital Funds</t>
  </si>
  <si>
    <t>Alternate Investment Funds</t>
  </si>
  <si>
    <t>Foreign Venture Capital Investors</t>
  </si>
  <si>
    <t>Foreign Portfolio Investors</t>
  </si>
  <si>
    <t>(f)</t>
  </si>
  <si>
    <t>(g)</t>
  </si>
  <si>
    <t>Insurance  Companies</t>
  </si>
  <si>
    <t>(h)</t>
  </si>
  <si>
    <t>Provident Funds/ Pension Funds</t>
  </si>
  <si>
    <t>(i)</t>
  </si>
  <si>
    <t>Sub-Total (B)(1)</t>
  </si>
  <si>
    <t>C</t>
  </si>
  <si>
    <t>Table IV - Statement showing shareholding pattern of the Non Promoter- Non Public shareholder</t>
  </si>
  <si>
    <t>( 2 )</t>
  </si>
  <si>
    <t>Central  Government/  State  Government(s)/ President of India</t>
  </si>
  <si>
    <t>Sub-Total (B)(2)</t>
  </si>
  <si>
    <t>( 3 )</t>
  </si>
  <si>
    <t>Non-institutions</t>
  </si>
  <si>
    <t xml:space="preserve">Individuals -  
i.Individual shareholders holding nominal share capital up to Rs. 2 lakhs. </t>
  </si>
  <si>
    <t>Individuals -  
ii. Individual shareholders holding nominal share capital in excess of Rs. 2 lakhs.</t>
  </si>
  <si>
    <t>NBFCs registered with RBI</t>
  </si>
  <si>
    <t>Employee Trusts</t>
  </si>
  <si>
    <t>Overseas Depositories (holding DRs) (balancing figure)</t>
  </si>
  <si>
    <t>Sub-Total (B)(3)</t>
  </si>
  <si>
    <t>Custodian/DR  Holder - Name of DR Holders  (If Available)</t>
  </si>
  <si>
    <t>Employee Benefit Trust (under SEBI (Share based Employee Benefit) Regulations, 2014)</t>
  </si>
  <si>
    <t>Total NonPromoter- Non Public  Shareholding 
(C)= (C)(1)+(C)(2)</t>
  </si>
  <si>
    <t>Total ( A+B+C2 )</t>
  </si>
  <si>
    <t>Total (A+B+C )</t>
  </si>
  <si>
    <t>(a(i))</t>
  </si>
  <si>
    <t>(a(ii))</t>
  </si>
  <si>
    <t>( 1 )</t>
  </si>
  <si>
    <t>A1(a)</t>
  </si>
  <si>
    <t>A1(b)</t>
  </si>
  <si>
    <t>A1(c)</t>
  </si>
  <si>
    <t>A1(d)</t>
  </si>
  <si>
    <t>A2(a)</t>
  </si>
  <si>
    <t>A2(c)</t>
  </si>
  <si>
    <t>A2(d)</t>
  </si>
  <si>
    <t>B1(a)</t>
  </si>
  <si>
    <t>B1(b)</t>
  </si>
  <si>
    <t>B1(c)</t>
  </si>
  <si>
    <t>B1(d)</t>
  </si>
  <si>
    <t>B1(e)</t>
  </si>
  <si>
    <t>B1(g)</t>
  </si>
  <si>
    <t>B1(h)</t>
  </si>
  <si>
    <t>B1(i)</t>
  </si>
  <si>
    <t>B1(f)</t>
  </si>
  <si>
    <t>B2</t>
  </si>
  <si>
    <t>B3(a(i))</t>
  </si>
  <si>
    <t>B3(a(iI))</t>
  </si>
  <si>
    <t>B3(b)</t>
  </si>
  <si>
    <t>B3(c)</t>
  </si>
  <si>
    <t>B3(d)</t>
  </si>
  <si>
    <t>B3(e)</t>
  </si>
  <si>
    <t>C1</t>
  </si>
  <si>
    <t>Individuals - ii. Individual shareholders holding nominal share capital in excess of Rs. 2 lakhs.</t>
  </si>
  <si>
    <t xml:space="preserve">Individuals -  i.Individual shareholders holding nominal share capital up to Rs. 2 lakhs. </t>
  </si>
  <si>
    <t xml:space="preserve">Total Shareholding of Promoter and Promoter Group (A)=(A)(1)+(A)(2) </t>
  </si>
  <si>
    <t>Total Public Shareholding (B)=(B)(1)+(B)(2)+(B)(3)</t>
  </si>
  <si>
    <t>Shareholding , as a % assuming full conversion of convertible securities (as a percentage of diluted share capital)
(XI)= (VII)+(X)
As a % of (A+B+C2)</t>
  </si>
  <si>
    <t>General information about company</t>
  </si>
  <si>
    <t>Class of Security</t>
  </si>
  <si>
    <t>Date of allotment / extinguishment (in case Capital Restructuring selected) / Listing Date</t>
  </si>
  <si>
    <t>Yes</t>
  </si>
  <si>
    <t>Equity Shares</t>
  </si>
  <si>
    <t>Preference Shares</t>
  </si>
  <si>
    <t>Differential Voting Rights</t>
  </si>
  <si>
    <t>Pre-listing</t>
  </si>
  <si>
    <t>Quarterly</t>
  </si>
  <si>
    <t>Capital Restructuring</t>
  </si>
  <si>
    <t>June</t>
  </si>
  <si>
    <t>September</t>
  </si>
  <si>
    <t>December</t>
  </si>
  <si>
    <t>March</t>
  </si>
  <si>
    <t>No</t>
  </si>
  <si>
    <t>Name of the company</t>
  </si>
  <si>
    <t>Scrip code</t>
  </si>
  <si>
    <t>Particular</t>
  </si>
  <si>
    <t>Whether the Listed Entity has issued any partly paid up shares?</t>
  </si>
  <si>
    <t>Whether the Listed Entity has issued any Convertible Securities ?</t>
  </si>
  <si>
    <t>Whether the Listed Entity has issued any Warrants ?</t>
  </si>
  <si>
    <t>Whether the Listed Entity has any shares against which depository receipts are issued?</t>
  </si>
  <si>
    <t>Whether the Listed Entity has any shares in locked-in?</t>
  </si>
  <si>
    <t>Whether any shares held by promoters are pledge or otherwise encumbered?</t>
  </si>
  <si>
    <t>Sr. No.</t>
  </si>
  <si>
    <t>Sr.</t>
  </si>
  <si>
    <t>No. Of Shares Underlying Outstanding convertible securities and No. Of Warrants
(Xi) (a)</t>
  </si>
  <si>
    <t>No of Voting (XIV) Rights</t>
  </si>
  <si>
    <t>Name
of the 
Shareholders
     (I)</t>
  </si>
  <si>
    <t>Searial No.</t>
  </si>
  <si>
    <t>No. Of Shares Underlying Outstanding convertible securities and Warrants
(X)</t>
  </si>
  <si>
    <t>Bank Name</t>
  </si>
  <si>
    <t>Serial No.</t>
  </si>
  <si>
    <t>Class
eg:X</t>
  </si>
  <si>
    <t>No. Of Shares Underlying Outstanding convertible securities and warrants
(X)</t>
  </si>
  <si>
    <t>Shareholding , as a % assuming full conversion of convertible securities (as a percentage of diluted share capital)
(XI)= (VII)+(Xi)(a)
As a % of (A+B+C2)</t>
  </si>
  <si>
    <t>Number of shareholders</t>
  </si>
  <si>
    <t>Outstanding shares held in demat or unclaimed suspense account</t>
  </si>
  <si>
    <t>Name of the PAC</t>
  </si>
  <si>
    <t>Number of shares</t>
  </si>
  <si>
    <t>Percentage of shareholding by PAC</t>
  </si>
  <si>
    <t>voting rights which are frozen</t>
  </si>
  <si>
    <t>Category
(I)</t>
  </si>
  <si>
    <t>Category of shareholder
(II)</t>
  </si>
  <si>
    <t>Number of Voting Rights
held in each class of
securities
(IX)</t>
  </si>
  <si>
    <t>Total as a % of
(A+B+C)</t>
  </si>
  <si>
    <t>(A)</t>
  </si>
  <si>
    <t>Promoter &amp; Promoter Group</t>
  </si>
  <si>
    <t>(B)</t>
  </si>
  <si>
    <t>Public</t>
  </si>
  <si>
    <t>(C)</t>
  </si>
  <si>
    <t>Non Promoter- Non Public</t>
  </si>
  <si>
    <t>(C1)</t>
  </si>
  <si>
    <t>Shares underlying DRs</t>
  </si>
  <si>
    <t>(C2)</t>
  </si>
  <si>
    <t>Shares held by Employee Trusts</t>
  </si>
  <si>
    <t>Table I - Summary Statement holding of specified securities</t>
  </si>
  <si>
    <t>Number of fully paid up equity shares</t>
  </si>
  <si>
    <t>Number of partly paid-up equity shares</t>
  </si>
  <si>
    <t>Number of shares underlying outstanding depository receipts</t>
  </si>
  <si>
    <t>Total number of shares</t>
  </si>
  <si>
    <t>Shareholding as a percentage of total number of shares held by promoters and public shareholders and custodians or DR holders</t>
  </si>
  <si>
    <t>Number of voting rights held by same class of securities</t>
  </si>
  <si>
    <t>Number of voting rights held by differential voting rights</t>
  </si>
  <si>
    <t>Total Number of voting rights</t>
  </si>
  <si>
    <t>Percentage of total number of voting rights</t>
  </si>
  <si>
    <t>Number of shares underlying outstanding convertible securities</t>
  </si>
  <si>
    <t>Number of warrant</t>
  </si>
  <si>
    <t>Number of warrant and convertible securities</t>
  </si>
  <si>
    <t>Total shareholding as a percentage assuming full conversion of convertible securities</t>
  </si>
  <si>
    <t xml:space="preserve">Number of the locked-in-shares </t>
  </si>
  <si>
    <t>Locked-in-shares as a percentage of total number of shares</t>
  </si>
  <si>
    <t>Pledged or encumbered - number of shares</t>
  </si>
  <si>
    <t>Pledged or encumbered shares held as percentage of total number of shares</t>
  </si>
  <si>
    <t>Number of equity shares held in dematerialized form</t>
  </si>
  <si>
    <t>Disclosure of notes on shareholding pattern</t>
  </si>
  <si>
    <t>Individuals or Hindu undivided family [Member]</t>
  </si>
  <si>
    <t>Central government or State government(s) [Member]</t>
  </si>
  <si>
    <t>Indian - financial institutions or banks [Member]</t>
  </si>
  <si>
    <t>Other Indian shareholders [Member]</t>
  </si>
  <si>
    <t>Indian [Member]</t>
  </si>
  <si>
    <t>Non-resident individuals or foreign individuals [Member]</t>
  </si>
  <si>
    <t>Foreign - Government [Member]</t>
  </si>
  <si>
    <t>Foreign portfolio investor [Member]</t>
  </si>
  <si>
    <t>Foreign - institutions [Member]</t>
  </si>
  <si>
    <t>Other foreign shareholders [Member]</t>
  </si>
  <si>
    <t>Foreign [Member]</t>
  </si>
  <si>
    <t>Shareholding of promoter and promoter group [Member]</t>
  </si>
  <si>
    <t>Venture capital funds [Member]</t>
  </si>
  <si>
    <t>Alternative investment funds [Member]</t>
  </si>
  <si>
    <t>Foreign venture capital investors [Member]</t>
  </si>
  <si>
    <t>Institutions - Foreign portfolio investor [Member]</t>
  </si>
  <si>
    <t>Financial Institution or Banks [Member]</t>
  </si>
  <si>
    <t>Insurance Companies [Member]</t>
  </si>
  <si>
    <t>Provident Funds or pension funds [Member]</t>
  </si>
  <si>
    <t>Other institutions [Member]</t>
  </si>
  <si>
    <t>Institutions [Member]</t>
  </si>
  <si>
    <t>Central Government or State Government(s) or President of India [Member]</t>
  </si>
  <si>
    <t>Individual shareholders holding nominal share capital up to Rs two lakh [Member]</t>
  </si>
  <si>
    <t>Individual shareholders holding nominal share capital in excess of Rs two lakh [Member]</t>
  </si>
  <si>
    <t>NBFCs registered with RBI [Member]</t>
  </si>
  <si>
    <t>Employee Trusts [Member]</t>
  </si>
  <si>
    <t>Overseas Depositories [Member]</t>
  </si>
  <si>
    <t>Other non-institutions [Member]</t>
  </si>
  <si>
    <t>Non-institutions [Member]</t>
  </si>
  <si>
    <t>Public shareholding [Member]</t>
  </si>
  <si>
    <t>Custodian or DR holder [Member]</t>
  </si>
  <si>
    <t>Employee benefits trusts [Member]</t>
  </si>
  <si>
    <t>Shares held by non-promoter non-public shareholders [Member]</t>
  </si>
  <si>
    <t>Shareholding pattern [Member]</t>
  </si>
  <si>
    <t>IndHUF</t>
  </si>
  <si>
    <t>CGAndSG</t>
  </si>
  <si>
    <t>AIF</t>
  </si>
  <si>
    <t>CG&amp;SG&amp;PI</t>
  </si>
  <si>
    <t>Indivisual(aI)</t>
  </si>
  <si>
    <t>Indivisual(aII)</t>
  </si>
  <si>
    <t>NBFC</t>
  </si>
  <si>
    <t>OD</t>
  </si>
  <si>
    <t>EBT</t>
  </si>
  <si>
    <t>IndianFinancialInstitutionsOrBanksDomain</t>
  </si>
  <si>
    <t>NonResidentIndividualsOrForeignIndividualsDomain</t>
  </si>
  <si>
    <t>ForeignGovernmentDomain</t>
  </si>
  <si>
    <t>ForeignPortfolioInvestorDomain</t>
  </si>
  <si>
    <t>ForeignInstitutionsDomain</t>
  </si>
  <si>
    <t>OtherForeignShareholdersDomain</t>
  </si>
  <si>
    <t>MutualFundsOrUtiDomain</t>
  </si>
  <si>
    <t>VentureCapitalFundsDomain</t>
  </si>
  <si>
    <t>AlternativeInvestmentFundsDomain</t>
  </si>
  <si>
    <t>ForeignVentureCapitalInvestorsDomain</t>
  </si>
  <si>
    <t>InstitutionsForeignPortfolioInvestorDomain</t>
  </si>
  <si>
    <t>FinancialInstitutionOrBanksDomain</t>
  </si>
  <si>
    <t>InsuranceCompaniesDomain</t>
  </si>
  <si>
    <t>ProvidentFundsOrPensionFundsDomain</t>
  </si>
  <si>
    <t>OtherInstitutionsDomain</t>
  </si>
  <si>
    <t>CentralGovernmentOrStateGovernmentSOrPresidentOfIndiaDomain</t>
  </si>
  <si>
    <t>IndividualShareholdersHoldingNominalShareCapitalUpToRsTwoLakhDomain</t>
  </si>
  <si>
    <t>IndividualShareholdersHoldingNominalShareCapitalInExcessOfRsTwoLakhDomain</t>
  </si>
  <si>
    <t>EmployeeTrustsDomain</t>
  </si>
  <si>
    <t>OverseasDepositoriesDomain</t>
  </si>
  <si>
    <t>OtherNonInstitutionsDomain</t>
  </si>
  <si>
    <t>EmployeeBenefitsTrustsDomain</t>
  </si>
  <si>
    <t>Name of shareholder</t>
  </si>
  <si>
    <t>Micro@213Vista</t>
  </si>
  <si>
    <t>label</t>
  </si>
  <si>
    <t>periodType</t>
  </si>
  <si>
    <t>xbrli:stringItemType</t>
  </si>
  <si>
    <t>duration</t>
  </si>
  <si>
    <t>ScripCode</t>
  </si>
  <si>
    <t>in-bse-shp-types:ScripCode</t>
  </si>
  <si>
    <t>NameOfTheCompany</t>
  </si>
  <si>
    <t>ClassOfSecurity</t>
  </si>
  <si>
    <t>TypeOfReport</t>
  </si>
  <si>
    <t>Type of report</t>
  </si>
  <si>
    <t>DateOfReport</t>
  </si>
  <si>
    <t>xbrli:dateItemType</t>
  </si>
  <si>
    <t>instant</t>
  </si>
  <si>
    <t>ShareholdingPatternFiledUnder</t>
  </si>
  <si>
    <t>Shareholding pattern filed under</t>
  </si>
  <si>
    <t>WhetherCompanyHasEquitySharesWithDifferentialVotingRights</t>
  </si>
  <si>
    <t>xbrli:booleanItemType</t>
  </si>
  <si>
    <t>WhetherTheListedEntityHasIssuedAnyPartlyPaidUpShares</t>
  </si>
  <si>
    <t>WhetherTheListedEntityHasIssuedAnyConvertibleSecurities</t>
  </si>
  <si>
    <t>WhetherTheListedEntityHasIssuedAnyWarrants</t>
  </si>
  <si>
    <t>WhetherTheListedEntityHasAnySharesAgainstWhichDepositoryReceiptsAreIssued</t>
  </si>
  <si>
    <t>WhetherTheListedEntityHasAnySharesInLockedIn</t>
  </si>
  <si>
    <t>WhetherAnySharesHeldByPromotersArePledgeOrOtherwiseEncumbered</t>
  </si>
  <si>
    <t>nonnum:domainItemType</t>
  </si>
  <si>
    <t>PublicShareholdingMember</t>
  </si>
  <si>
    <t>CustodianOrDRHolderMember</t>
  </si>
  <si>
    <t>EmployeeBenefitsTrustsMember</t>
  </si>
  <si>
    <t>NumberOfShareholders</t>
  </si>
  <si>
    <t>NumberOfFullyPaidUpEquityShares</t>
  </si>
  <si>
    <t>xbrli:sharesItemType</t>
  </si>
  <si>
    <t>NumberOfPartlyPaidUpEquityShares</t>
  </si>
  <si>
    <t>NumberOfSharesUnderlyingOutstandingDepositoryReceipts</t>
  </si>
  <si>
    <t>NumberOfShares</t>
  </si>
  <si>
    <t>ShareholdingAsAPercentageOfTotalNumberOfShares</t>
  </si>
  <si>
    <t>num:percentItemType</t>
  </si>
  <si>
    <t>NumberOfVotingRightsHeldBySameClassOfSecurities</t>
  </si>
  <si>
    <t>xbrli:decimalItemType</t>
  </si>
  <si>
    <t>NumberOfVotingRightsHeldByDifferentialVotingRights</t>
  </si>
  <si>
    <t>NumberOfVotingRights</t>
  </si>
  <si>
    <t>PercentageOfTotalVotingRights</t>
  </si>
  <si>
    <t>NumberOfSharesUnderlyingOutstandingConvertibleSecurities</t>
  </si>
  <si>
    <t>NumberOfWarrants</t>
  </si>
  <si>
    <t>NumberOfConvertibleSecuritiesAndWarrants</t>
  </si>
  <si>
    <t>ShareholdingAsAPercentageAssumingFullConversionOfConvertibleSecuritiesAndWarrants</t>
  </si>
  <si>
    <t>NumberOfTheLockedInShares</t>
  </si>
  <si>
    <t>LockedInSharesAsAPercentageOfTotalNumberOfShares</t>
  </si>
  <si>
    <t>PledgedOrEncumberedNumberOfShares</t>
  </si>
  <si>
    <t>PledgedOrEncumberedSharesHeldAsPercentageOfTotalNumberOfShares</t>
  </si>
  <si>
    <t>NumberOfEquitySharesHeldInDematerializedForm</t>
  </si>
  <si>
    <t>IndianMember</t>
  </si>
  <si>
    <t>IndividualsOrHinduUndividedFamilyMember</t>
  </si>
  <si>
    <t>CentralGovernmentOrStateGovernmentSMember</t>
  </si>
  <si>
    <t>IndianFinancialInstitutionsOrBanksMember</t>
  </si>
  <si>
    <t>OtherIndianShareholdersMember</t>
  </si>
  <si>
    <t>ForeignMember</t>
  </si>
  <si>
    <t>NonResidentIndividualsOrForeignIndividualsMember</t>
  </si>
  <si>
    <t>OtherForeignShareholdersMember</t>
  </si>
  <si>
    <t>InstitutionsMember</t>
  </si>
  <si>
    <t>MutualFundsOrUtiMember</t>
  </si>
  <si>
    <t>Mutual funds or UTI [Member]</t>
  </si>
  <si>
    <t>VentureCapitalFundsMember</t>
  </si>
  <si>
    <t>AlternativeInvestmentFundsMember</t>
  </si>
  <si>
    <t>ForeignVentureCapitalInvestorsMember</t>
  </si>
  <si>
    <t>InstitutionsForeignPortfolioInvestorMember</t>
  </si>
  <si>
    <t>FinancialInstitutionOrBanksMember</t>
  </si>
  <si>
    <t>InsuranceCompaniesMember</t>
  </si>
  <si>
    <t>ProvidentFundsOrPensionFundsMember</t>
  </si>
  <si>
    <t>OtherInstitutionsMember</t>
  </si>
  <si>
    <t>CentralGovernmentOrStateGovernmentSOrPresidentOfIndiaMember</t>
  </si>
  <si>
    <t>NonInstitutionsMember</t>
  </si>
  <si>
    <t>IndividualShareholdersHoldingNominalShareCapitalUpToRsTwoLakhMember</t>
  </si>
  <si>
    <t>IndividualShareholdersHoldingNominalShareCapitalInExcessOfRsTwoLakhMember</t>
  </si>
  <si>
    <t>NBFCsRegisteredWithRbiMember</t>
  </si>
  <si>
    <t>EmployeeTrustsMember</t>
  </si>
  <si>
    <t>OverseasDepositoriesMember</t>
  </si>
  <si>
    <t>OtherNonInstitutionsMember</t>
  </si>
  <si>
    <t>SharesHeldByNonPromoterNonPublicShareholdersMember</t>
  </si>
  <si>
    <t>DetailsSharesHeldByIndividualsOrHUFAxis</t>
  </si>
  <si>
    <t>NameOfTheShareholder</t>
  </si>
  <si>
    <t>DetailsOfSharesHeldByCentralGovernmentOrStateGovernmentsAxis</t>
  </si>
  <si>
    <t>Banks</t>
  </si>
  <si>
    <t>OtherIND</t>
  </si>
  <si>
    <t>Individuals</t>
  </si>
  <si>
    <t>FPIPromoter</t>
  </si>
  <si>
    <t>OtherForeign</t>
  </si>
  <si>
    <t>MutuaFund</t>
  </si>
  <si>
    <t>VentureCap</t>
  </si>
  <si>
    <t>FVC</t>
  </si>
  <si>
    <t>FPI_Insti</t>
  </si>
  <si>
    <t>Bank_Insti</t>
  </si>
  <si>
    <t>Insurance</t>
  </si>
  <si>
    <t>Pension</t>
  </si>
  <si>
    <t>Other_Insti</t>
  </si>
  <si>
    <t>EmpTrust</t>
  </si>
  <si>
    <t>Other_NonInsti</t>
  </si>
  <si>
    <t>DRHolder</t>
  </si>
  <si>
    <t>Category of other indian shareholders</t>
  </si>
  <si>
    <t>Category of other foreign shareholders</t>
  </si>
  <si>
    <t>Category of other institutions</t>
  </si>
  <si>
    <t>Category of other non-institutions</t>
  </si>
  <si>
    <t>Type of depository receipts</t>
  </si>
  <si>
    <t>Name of the bank</t>
  </si>
  <si>
    <t>DetailsOfSharesHeldByIndianFinancialInstitutionsOrBanksAxis</t>
  </si>
  <si>
    <t>DetailsOfSharesHeldByNonResidentIndividualsOrForeignIndividualsAxis</t>
  </si>
  <si>
    <t>DetailsOfSharesHeldByForeignGovernmentAxis</t>
  </si>
  <si>
    <t>DetailsOfSharesHeldByForeignPortfolioInvestorAxis</t>
  </si>
  <si>
    <t>DetailsOfSharesHeldByVentureCapitalFundsAxis</t>
  </si>
  <si>
    <t>DetailsOfSharesHeldByAlternativeInvestmentFundsAxis</t>
  </si>
  <si>
    <t>DetailsOfSharesHeldByForeignVentureCapitalInvestorsAxis</t>
  </si>
  <si>
    <t>DetailsOfSharesHeldByInstitutionsForeignPortfolioInvestorAxis</t>
  </si>
  <si>
    <t>DetailsOfSharesHeldByFinancialInstitutionOrBanksAxis</t>
  </si>
  <si>
    <t>DetailsOfSharesHeldByInsuranceCompaniesAxis</t>
  </si>
  <si>
    <t>DetailsOfSharesHeldByProvidentFundsOrPensionFundsAxis</t>
  </si>
  <si>
    <t>DetailsOfSharesHeldByCentralGovernmentOrStateGovernmentSOrPresidentOfIndiaAxis</t>
  </si>
  <si>
    <t>DetailsOfSharesHeldByIndividualShareholdersHoldingNominalShareCapitalUpToRsTwoLakhAxis</t>
  </si>
  <si>
    <t>DetailsOfSharesHeldByIndividualShareholdersHoldingNominalShareCapitalInExcessOfRsTwoLakhAxis</t>
  </si>
  <si>
    <t>DetailsOfSharesHeldByNBFCsRegisteredWithRbiAxis</t>
  </si>
  <si>
    <t>DetailsOfSharesHeldByEmployeeTrustsAxis</t>
  </si>
  <si>
    <t>DetailsOfSharesHeldByOthersIndianShareholdersAxis</t>
  </si>
  <si>
    <t>CategoryOfOtherIndianShareholders</t>
  </si>
  <si>
    <t>DetailsOfSharesHeldByForeignInstitutionsAxis</t>
  </si>
  <si>
    <t>DetailsOfSharesHeldByOtherForeignShareholdersAxis</t>
  </si>
  <si>
    <t>DetailsOfSharesHeldByMutualFundsOrUtiAxis</t>
  </si>
  <si>
    <t>DetailsOfSharesHeldByOtherInstitutionsAxis</t>
  </si>
  <si>
    <t>CategoryOfOtherInstitutions</t>
  </si>
  <si>
    <t>DetailsOfSharesHeldByOverseasDepositoriesAxis</t>
  </si>
  <si>
    <t>DetailsOfSharesHeldByOtherNonInstitutionsAxis</t>
  </si>
  <si>
    <t>CategoryOfOtherNonInstitutions</t>
  </si>
  <si>
    <t>DetailsOfSharesHeldByCustodianOrDRHolderAxis</t>
  </si>
  <si>
    <t>TypeOfDepositoryReceipts</t>
  </si>
  <si>
    <t>NameOfTheBank</t>
  </si>
  <si>
    <t>DetailsOfSharesHeldByEmployeeBenefitsTrustsAxis</t>
  </si>
  <si>
    <t>Voting rights which are frozen</t>
  </si>
  <si>
    <t>Disclosure of notes on shares which remain unclaimed for promoter and promoter group</t>
  </si>
  <si>
    <t>Disclosure of notes on shares which remain unclaimed for public shareholders</t>
  </si>
  <si>
    <t>No of Voting  (XIV)  Rights</t>
  </si>
  <si>
    <t>IndividualsOrHUFDomain</t>
  </si>
  <si>
    <t>CentralGovernmentOrStateGovernmentsDomain</t>
  </si>
  <si>
    <t>NBFCsRegisteredWithRbiDomain</t>
  </si>
  <si>
    <t>OthersIndianShareholdersDomain</t>
  </si>
  <si>
    <t>CustodianOrDRHolderDomain</t>
  </si>
  <si>
    <t>C2</t>
  </si>
  <si>
    <t>Trusts</t>
  </si>
  <si>
    <t>HUF</t>
  </si>
  <si>
    <t>Societies</t>
  </si>
  <si>
    <t>ESOP or ESOS or ESPS</t>
  </si>
  <si>
    <t>Employee welfare fund</t>
  </si>
  <si>
    <t>Venture capital funds</t>
  </si>
  <si>
    <t>Angel Investors</t>
  </si>
  <si>
    <t>Private Equity Fund</t>
  </si>
  <si>
    <t>Other</t>
  </si>
  <si>
    <t>Overseas corporate bodies</t>
  </si>
  <si>
    <t>NRI</t>
  </si>
  <si>
    <t>Market Maker</t>
  </si>
  <si>
    <t>Clearing Members</t>
  </si>
  <si>
    <t>NSDL or CDSL transit</t>
  </si>
  <si>
    <t>Private equity fund</t>
  </si>
  <si>
    <t>Employees</t>
  </si>
  <si>
    <t>GDR</t>
  </si>
  <si>
    <t>GDS</t>
  </si>
  <si>
    <t>ADR</t>
  </si>
  <si>
    <t>ADS</t>
  </si>
  <si>
    <t>SDR</t>
  </si>
  <si>
    <t>Regulation 31 (1) (a)</t>
  </si>
  <si>
    <t>Regulation 31 (1) (b)</t>
  </si>
  <si>
    <t>Regulation 31 (1) (c)</t>
  </si>
  <si>
    <t>in-bse-shp-types:TypeOfReport</t>
  </si>
  <si>
    <t>in-bse-shp-types:TypeOfShareholdingPattern</t>
  </si>
  <si>
    <t>in-bse-shp-types:ClassOfSecurity</t>
  </si>
  <si>
    <t>Permanent account number of shareholder</t>
  </si>
  <si>
    <t>PermanentAccountNumberOfShareholder</t>
  </si>
  <si>
    <t>in-bse-shp-types:PermanentAccountNumber</t>
  </si>
  <si>
    <t>in-bse-shp-types:CategoryOfIndianShareholders</t>
  </si>
  <si>
    <t>in-bse-shp-types:CategoryOfInstitutionShareholders</t>
  </si>
  <si>
    <t>in-bse-shp-types:CategoryOfNonInstitutionsShareholders</t>
  </si>
  <si>
    <t>No.
of the 
Shareholders
     (I)</t>
  </si>
  <si>
    <t>Details of Shares which remain unclaimed for Promoter &amp; Promoter Group</t>
  </si>
  <si>
    <t>Details of the shareholders acting as persons in Concert for Public</t>
  </si>
  <si>
    <t>Details of Shares which remain unclaimed for Public</t>
  </si>
  <si>
    <t>GovermentsMember</t>
  </si>
  <si>
    <t>Goverments [Member]</t>
  </si>
  <si>
    <t>Note  : Data will be automatically populated from shareholding pattern sheet -  Data Entry Restricted in this sheet</t>
  </si>
  <si>
    <t xml:space="preserve">Details of Shares which remain unclaimed for Promoter &amp; Promoter Group                    </t>
  </si>
  <si>
    <t>Category / More than 1 percentage</t>
  </si>
  <si>
    <t>Category or more than one percentage</t>
  </si>
  <si>
    <t>WhetherACategoryOrMoreThan1PercentageOfShareHolding</t>
  </si>
  <si>
    <t>More than 1 percentage of shareholding</t>
  </si>
  <si>
    <t>DisclosureOfNotesOnShareholdingPatternExplanatoryTextBlock</t>
  </si>
  <si>
    <t>Whether company has equity shares with differential voting rights?</t>
  </si>
  <si>
    <t xml:space="preserve"> </t>
  </si>
  <si>
    <t>Partnership Firms</t>
  </si>
  <si>
    <t>Person Acting in Concert</t>
  </si>
  <si>
    <t>State industrial development Corporation</t>
  </si>
  <si>
    <t>Provident Fund</t>
  </si>
  <si>
    <t>Pension Fund</t>
  </si>
  <si>
    <t>National Investment Fund</t>
  </si>
  <si>
    <t>Enemy Property</t>
  </si>
  <si>
    <t xml:space="preserve">Click here to go back </t>
  </si>
  <si>
    <t>Cick here to go back</t>
  </si>
  <si>
    <t>Click here to go back</t>
  </si>
  <si>
    <t>Unclaimed or Suspense or Escrow Account</t>
  </si>
  <si>
    <t>Director or Director's Relatives</t>
  </si>
  <si>
    <t>nonnum:textBlockItemType</t>
  </si>
  <si>
    <t xml:space="preserve">                                      XBRL Excel Utility</t>
  </si>
  <si>
    <t>1.</t>
  </si>
  <si>
    <t>Overview</t>
  </si>
  <si>
    <t>2.</t>
  </si>
  <si>
    <t>Before you begin</t>
  </si>
  <si>
    <t>3.</t>
  </si>
  <si>
    <t>Index</t>
  </si>
  <si>
    <t>4.</t>
  </si>
  <si>
    <t>1. Overview</t>
  </si>
  <si>
    <t xml:space="preserve">The excel utility can be used for creating the XBRL/XML file for efiling of shareholding pattern. </t>
  </si>
  <si>
    <t>Shareholding pattern XBRL filling consists of two processes. Firstly generation of XBRL/XML file of the Shareholding pattern, and upload of generated XBRL/XML file to BSE Listing Center.</t>
  </si>
  <si>
    <t xml:space="preserve"> 2.  Before you begin</t>
  </si>
  <si>
    <t>1. The version of Microsoft Excel in your system should be Microsoft Office Excel 2007 and above.</t>
  </si>
  <si>
    <t>2. The system should have a file compression software to unzip excel utility file.</t>
  </si>
  <si>
    <t>3. Make sure that you have downloaded the latest Excel Utility from BSE Website to your local system.</t>
  </si>
  <si>
    <t>4. Make sure that you have downloaded the Chrome Browser to view report generated from Excel utility</t>
  </si>
  <si>
    <t>5. Please enable the Macros (if disabled) as per instructions given in manual, so that all the functionalities of  Excel Utility works fine. Please first go through Enable Macro - Manual attached with zip file.</t>
  </si>
  <si>
    <t xml:space="preserve">3. Index </t>
  </si>
  <si>
    <t>Details of general information about company</t>
  </si>
  <si>
    <t>General Info</t>
  </si>
  <si>
    <t>II. Validating Sheets:  Click on the ''Validate "  button to ensure that the sheet has been properly filled and also data has been furnished in proper format. If there are some errors on the sheet, excel utility will prompt you about the same.</t>
  </si>
  <si>
    <t>III. Validate All Sheets:  Click on the ''Home"  button. And then click on "Validate All Sheet" button to ensure that all sheets has been properly filled and validated successfully. If there are some errors on the sheet, excel utility will prompt you about the same and stop validation at the same time. After correction, once again follow the same procedure to validate all sheets.</t>
  </si>
  <si>
    <t xml:space="preserve">Excel Utility will not allow you to generate XBRL/XML until you rectify all errors. </t>
  </si>
  <si>
    <t xml:space="preserve">IV. Generate XML :   Excel Utility will not allow you to generate XBRL/XML unless successful validation of all sheet is completed. Now click on 'Generate XML'' to generate XBRL/XML file. 
    - Save the XBRL/XML file in your desired folder in local system. </t>
  </si>
  <si>
    <t xml:space="preserve">V. Generate Report :   Excel Utility will allow you to generate Report. Now click on 'Generate Report'' to generate html report.   
     - Save the HTML Report file in your desired folder in local system.     
     - To view HTML Report open "Chrome Web Browser" . 
     - To print report in PDF Format, Click on print button and save as PDF. </t>
  </si>
  <si>
    <t xml:space="preserve">VI. Upload XML file to BSE Listing Center: For uploading the XBRL/XML file generated through  Utility, login to BSE Listing Center and upload generated xml file. On Upload screen provide the required information and browse to select XML file and submit the XML.
</t>
  </si>
  <si>
    <t xml:space="preserve">1. Cells with red fonts indicate mandatory fields. </t>
  </si>
  <si>
    <t>2. If mandatory field is left empty, then Utility will not allow you to proceed further for generating XML.</t>
  </si>
  <si>
    <t>3. You are not allowed to enter data in the Grey Cells.</t>
  </si>
  <si>
    <t>4. If fields are not applicable to your company then leave it blank. Do not insert Zero unless it is a mandatory field.</t>
  </si>
  <si>
    <t>5. Data provided must be in correct format, otherwise Utility will not allow you to proceed further for generating XML.</t>
  </si>
  <si>
    <t>6. Adding new rows: Sections such as Promoters details allow you to enter as much data in a tabular form. You can Click on  "Add" to add more rows.
To add more than one row you must fill data in the mandatory fields of the previous row.</t>
  </si>
  <si>
    <t xml:space="preserve">7. Deleting rows: Rows that has been added can be removed by clicking the button "Delete". A popup will ask you to provide the range of rows you want to delete. </t>
  </si>
  <si>
    <t xml:space="preserve">8. Select data from "Dropdown list" wherever applicable. </t>
  </si>
  <si>
    <t xml:space="preserve">9. Adding Notes:  Click on "Add Notes" button to add notes </t>
  </si>
  <si>
    <t>Steps for filing Shareholding Pattern</t>
  </si>
  <si>
    <t>Declaration</t>
  </si>
  <si>
    <t>Summary</t>
  </si>
  <si>
    <t>Shareholding Pattern</t>
  </si>
  <si>
    <t xml:space="preserve">I.  Fill up the data: Navigate to each field of every section in the sheet to provide applicable data in correct format.  (Formats will get reflected while filling data.)  
   - Use paste special command to paste data from other sheet.
</t>
  </si>
  <si>
    <t>Disclosure of shareholder holding more than 1% of total number of shares</t>
  </si>
  <si>
    <t xml:space="preserve">Disclosure of shareholder holding more than 1% of total number of shares
</t>
  </si>
  <si>
    <t xml:space="preserve">
Disclosure of shareholder holding more than 1% of total number of shares
</t>
  </si>
  <si>
    <t xml:space="preserve">
Disclosure of shareholder holding more than 1% of total number of shares</t>
  </si>
  <si>
    <t>Bodies Corporate</t>
  </si>
  <si>
    <t>Reason for not providing PAN</t>
  </si>
  <si>
    <t>Whether company is SME</t>
  </si>
  <si>
    <t>Quarter Ended / Half year ended/Date of Report (For Prelisting / Allotment)</t>
  </si>
  <si>
    <t>Half yearly</t>
  </si>
  <si>
    <t>Yearly</t>
  </si>
  <si>
    <t>Regulation 31 (1)</t>
  </si>
  <si>
    <t>No. of Shares Underlying Outstanding Warrants (Xi)</t>
  </si>
  <si>
    <t>FCCB</t>
  </si>
  <si>
    <t xml:space="preserve">Note : Kindly show details of shareholders having more than one percentage of total no of shares. Please refer software manual. </t>
  </si>
  <si>
    <t>NSE Symbol</t>
  </si>
  <si>
    <t>MSEI Symbol</t>
  </si>
  <si>
    <t>ISIN</t>
  </si>
  <si>
    <t>Promoter and Promoter Group</t>
  </si>
  <si>
    <t>Public shareholder</t>
  </si>
  <si>
    <t>element</t>
  </si>
  <si>
    <t>type</t>
  </si>
  <si>
    <t>General Information</t>
  </si>
  <si>
    <t>DateOfAllotmentOrListing</t>
  </si>
  <si>
    <t>Shareholder type</t>
  </si>
  <si>
    <t>Non Promoter- Non Public shareholder</t>
  </si>
  <si>
    <t>Promoter</t>
  </si>
  <si>
    <t>Promoter Group</t>
  </si>
  <si>
    <t>Firm</t>
  </si>
  <si>
    <t>Foreign Nationals</t>
  </si>
  <si>
    <t>Insurance Companies</t>
  </si>
  <si>
    <t>Venture Capital Fund</t>
  </si>
  <si>
    <t>Clearing Member</t>
  </si>
  <si>
    <t>Employee Welfare Fund</t>
  </si>
  <si>
    <t>Overseas Corporate Bodies</t>
  </si>
  <si>
    <t>Trust</t>
  </si>
  <si>
    <t>Symbol</t>
  </si>
  <si>
    <t>MSEISymbol</t>
  </si>
  <si>
    <t>Yes/No</t>
  </si>
  <si>
    <t>WhetherTheListedEntityHasIssuedAnyPartlyPaidUpSharesForPromoterAndPromoterGroup</t>
  </si>
  <si>
    <t>WhetherTheListedEntityHasIssuedAnyPartlyPaidUpSharesForPublicShareHolder</t>
  </si>
  <si>
    <t>WhetherTheListedEntityHasIssuedAnyPartlyPaidUpSharesForNonPromoterNonPublic</t>
  </si>
  <si>
    <t>WhetherCompanyHasEquitySharesWithDifferentialVotingRightsForPromoterAndPromoterGroup</t>
  </si>
  <si>
    <t>WhetherCompanyHasEquitySharesWithDifferentialVotingRightsForPublicShareHolder</t>
  </si>
  <si>
    <t>WhetherCompanyHasEquitySharesWithDifferentialVotingRightsForNonPromoterNonPublic</t>
  </si>
  <si>
    <t>WhetherTheListedEntityHasIssuedAnyConvertibleSecuritiesForPromoterAndPromoterGroup</t>
  </si>
  <si>
    <t>WhetherTheListedEntityHasIssuedAnyConvertibleSecuritiesForPublicShareHolder</t>
  </si>
  <si>
    <t>WhetherTheListedEntityHasIssuedAnyConvertibleSecuritiesForNonPromoterNonPublic</t>
  </si>
  <si>
    <t>WhetherTheListedEntityHasIssuedAnyWarrantsForPromoterAndPromoterGroup</t>
  </si>
  <si>
    <t>WhetherTheListedEntityHasIssuedAnyWarrantsForPublicShareHolder</t>
  </si>
  <si>
    <t>WhetherTheListedEntityHasIssuedAnyWarrantsForNonPromoterNonPublic</t>
  </si>
  <si>
    <t>WhetherTheListedEntityHasAnySharesAgainstWhichDepositoryReceiptsAreIssuedForPromoterAndPromoterGroup</t>
  </si>
  <si>
    <t>WhetherTheListedEntityHasAnySharesAgainstWhichDepositoryReceiptsAreIssuedForPublicShareHolder</t>
  </si>
  <si>
    <t>WhetherTheListedEntityHasAnySharesAgainstWhichDepositoryReceiptsAreIssuedForNonPromoterNonPublic</t>
  </si>
  <si>
    <t>WhetherTheListedEntityHasAnySharesInLockedInForPromoterAndPromoterGroup</t>
  </si>
  <si>
    <t>WhetherTheListedEntityHasAnySharesInLockedInForPublicShareHolder</t>
  </si>
  <si>
    <t>WhetherTheListedEntityHasAnySharesInLockedInForNonPromoterNonPublic</t>
  </si>
  <si>
    <t>WhetherAnySharesHeldByPromotersArePledgeOrOtherwiseEncumberedForPromoterAndPromoterGroup</t>
  </si>
  <si>
    <t>WhetherAnySharesHeldByPromotersArePledgeOrOtherwiseEncumberedForPublicShareHolder</t>
  </si>
  <si>
    <t>WhetherAnySharesHeldByPromotersArePledgeOrOtherwiseEncumberedForNonPromoterNonPublic</t>
  </si>
  <si>
    <t>Partly Paid Up Shares</t>
  </si>
  <si>
    <t>Partly Paid Up Shares PPG</t>
  </si>
  <si>
    <t>Partly Paid Up Shares Public</t>
  </si>
  <si>
    <t>Partly Paid Up Shares NPNP</t>
  </si>
  <si>
    <t>Convertible Securities</t>
  </si>
  <si>
    <t>Convertible Securities PPG</t>
  </si>
  <si>
    <t>Convertible Securities Public</t>
  </si>
  <si>
    <t>Convertible Securities NPNP</t>
  </si>
  <si>
    <t>Warrants</t>
  </si>
  <si>
    <t>Warrants PPG</t>
  </si>
  <si>
    <t>Warrants Public</t>
  </si>
  <si>
    <t>Warrants NPNP</t>
  </si>
  <si>
    <t>Depository Receipts</t>
  </si>
  <si>
    <t>Depository Receipts PPG</t>
  </si>
  <si>
    <t>Depository Receipts Public</t>
  </si>
  <si>
    <t>Depository Receipts NPNP</t>
  </si>
  <si>
    <t>Locked In</t>
  </si>
  <si>
    <t>Locked In PPG</t>
  </si>
  <si>
    <t>Locked In Public</t>
  </si>
  <si>
    <t>Locked In NPNP</t>
  </si>
  <si>
    <t>Pledge Or Otherwise Encumbered</t>
  </si>
  <si>
    <t>Pledge Or Otherwise Encumbered PPG</t>
  </si>
  <si>
    <t>Pledge Or Otherwise Encumbered Public</t>
  </si>
  <si>
    <t>Pledge Or Otherwise Encumbered NPNP</t>
  </si>
  <si>
    <t>Voting Rights</t>
  </si>
  <si>
    <t>Voting Rights PPG</t>
  </si>
  <si>
    <t>Voting Rights Public</t>
  </si>
  <si>
    <t>Voting Rights NPNP</t>
  </si>
  <si>
    <t>TypeOfPromoterShareholding</t>
  </si>
  <si>
    <t>DisclosureOfNotesOnReasonForNotProvidingPANExplanatoryTextBlock</t>
  </si>
  <si>
    <t>CategoryOfOtherForeignShareholders</t>
  </si>
  <si>
    <t>DisclosureOfNotesInCaseOfPromoterHolidingInDematerialsedFormIsLessThan100PercentageExplanatoryTextBlock</t>
  </si>
  <si>
    <t>DisclosureOfNotesInCaseOfPublicShareholdingIsLessThan25PercentageExplanatoryTextBlock</t>
  </si>
  <si>
    <t>DisclosureOfNotesOnShareholdingPatternForCompanyRemarksExplanatoryTextBlock</t>
  </si>
  <si>
    <t>Disclosure of notes in case of promoter holiding in dematerialsed form is less than 100 percentage</t>
  </si>
  <si>
    <t>Disclosure of notes in case of public share holding is less than 25 percentage</t>
  </si>
  <si>
    <t>Disclosure of notes on shareholding pattern for company remarks explanatory</t>
  </si>
  <si>
    <t>Unclaimed Public</t>
  </si>
  <si>
    <t>OutstandingSharesHeldInDematOrUnclaimedSuspenseAccount</t>
  </si>
  <si>
    <t>VotingRightsWhichAreFrozen</t>
  </si>
  <si>
    <t>DisclosureOfNotesOnSharesWhichRemainUnclaimedForPublicShareholdersExplanatoryTextBlock</t>
  </si>
  <si>
    <t>PAC Public</t>
  </si>
  <si>
    <t>NameOfThePAC</t>
  </si>
  <si>
    <t>PercentageOfShareholdingByPAC</t>
  </si>
  <si>
    <t>Unclaimed Prom</t>
  </si>
  <si>
    <t>DisclosureOfNotesOnSharesWhichRemainUnclaimedForPromoterAndPromoterGroupExplanatoryTextBlock</t>
  </si>
  <si>
    <t>in-bse-shp-types:ISIN</t>
  </si>
  <si>
    <t>in-bse-shp-types:PromoterAndPromoterGroup</t>
  </si>
  <si>
    <t>in-bse-shp-types:CategoryOfForeignShareholders</t>
  </si>
  <si>
    <t>in-bse-shp-types:TypeOfOtherShareholding</t>
  </si>
  <si>
    <t>in-bse-shp-types:TypeOfDepositoryReceipts</t>
  </si>
  <si>
    <t>Name of Shareholder</t>
  </si>
  <si>
    <t>WhetherCompanyIsSME</t>
  </si>
  <si>
    <t>DateOfAllotment</t>
  </si>
  <si>
    <t>DateOfListing</t>
  </si>
  <si>
    <t>ShareholdingOfPromoterAndPromoterGroupMember</t>
  </si>
  <si>
    <t>ShareholdingPatternMember</t>
  </si>
  <si>
    <t>Validation</t>
  </si>
  <si>
    <t>This field is mandatory if promoter holiding in dematerialsed form is less than 100 percentage.</t>
  </si>
  <si>
    <t>This filed is mandatory if public share holding is less than 25 percentage.</t>
  </si>
  <si>
    <t>Select value from the drop-down.</t>
  </si>
  <si>
    <t>ForeignGovernmentMember</t>
  </si>
  <si>
    <t>ForeignInstitutionsMember</t>
  </si>
  <si>
    <t>ForeignPortfolioInvestorMember</t>
  </si>
  <si>
    <t xml:space="preserve">This is a mandatory field. Should be valid SCRIP CODE  as per BSE Scrip Code Format. </t>
  </si>
  <si>
    <t>This is a mandatory field. Please enter company name.</t>
  </si>
  <si>
    <t>This is a mandatory field. Value must be "Yes" or "No", Select from drop down list.</t>
  </si>
  <si>
    <t>This is a mandatory field. Please select value from the drop-down.</t>
  </si>
  <si>
    <t>This is a mandatory field if you select type of report as "Quarterly". Please enter date in "dd-mm-yyyy" format.</t>
  </si>
  <si>
    <t>This is a mandatory field if you select type of report as "Pre-listing" or "Capital Restructuring". Please enter date in "dd-mm-yyyy" format.</t>
  </si>
  <si>
    <t>In case of public share holding percentage can not be less than one percentage.</t>
  </si>
  <si>
    <t>Value must be equal to Fully paid up shares</t>
  </si>
  <si>
    <t>Value should be less than or equal to fully paid up shares</t>
  </si>
  <si>
    <t>Value should be less than or equal to total no of shares.</t>
  </si>
  <si>
    <t>[A-Z][A-Z][A-Z][A-Z][A-Z][0-9][0-9][0-9][0-9][A-Z]
In absence of PAN write : ZZZZZ9999Z</t>
  </si>
  <si>
    <t>Please enter valid PAN no or if you already added PAN no then remove reason for not providing PAN.</t>
  </si>
  <si>
    <t>Firms</t>
  </si>
  <si>
    <t>Foreign Portfolio Investor (Category - III)</t>
  </si>
  <si>
    <t>LLP</t>
  </si>
  <si>
    <t>Non-Resident Indian (NRI)</t>
  </si>
  <si>
    <t>NSDL or CDSL Transit</t>
  </si>
  <si>
    <t>Others</t>
  </si>
  <si>
    <t>IEPF</t>
  </si>
  <si>
    <t/>
  </si>
  <si>
    <t>Please enter Outstanding shares held in demat or unclaimed suspense account which allowes only numeric value.</t>
  </si>
  <si>
    <t>Please eneter Number of shares which allowes only numeric value</t>
  </si>
  <si>
    <t>4. Import XBRL file</t>
  </si>
  <si>
    <t xml:space="preserve">1. Now you can import and view previously generated XBRL files by clicking Import XBRL button on Genenral information sheet. </t>
  </si>
  <si>
    <t>5.</t>
  </si>
  <si>
    <t>Import XBRL file</t>
  </si>
  <si>
    <t>5. Steps for Filing Shareholding Pattern</t>
  </si>
  <si>
    <t>6. Fill up the Shareholding Pattern</t>
  </si>
  <si>
    <t>6.</t>
  </si>
  <si>
    <t>Fill up the Shareholding Pattern</t>
  </si>
  <si>
    <t>083111112104105101032065104109101100032104111108100115032115104097114101115032105110032109111114101032116104097110032111110101032100101109097116032097099099111117110116046032065115032112101114032083069066073032067105114099117108097114032110111046032067073082047067070068047067077068047049051047050048049053032100097116101100032051048032078111118101109098101114032050048049053044032115104097114101104111108100105110103032111102032112114111109111116101114032097110100032112114111109111116101114032103114111117112032105115032116111032098101032099111110115111108105100097116101100032111110032116104101032098097115105115032111102032080065078032040102105114115116032104111108100101114032105110032099097115101032111102032106111105110116032115104097114101104111108100105110103041046032073110032066083069032088066082076032102105108105105110103032115121115116101109044032105102032116104101032115104097114101104111108100105110103032105115032099108117098098101100032116104101110032105116032114101115117108116115032105110032116104101032100105102102101114101110099101032105110032116104101032110117109098101114032111102032115104097114101104111108100101114115032097115032112101114032097099116117097108032115104097114101104111108100105110103032112097116116101114110032097115032097103097105110115116032116104101032110117109098101114032111102032115104097114101104111108100101114115032103101110101114097116101100032098121032066083069032088066082076032102105108105110103032115121115116101109046032072101110099101044032115104097114101104111108100105110103032104097115032098101101110032115104111119110032115101112097114097116101108121032105110032066083069032088066082076032102105108105110103032115121115116101109046032084104101032098114101097107045117112032100101116097105108115032111102032115104097114101104111108100105110103032111102032083111112104105101032065104109101100032097115032111110032051048116104032083101112116101109098101114044032050048049056032105115032097115032117110100101114058010010049046032078097109101032111102032115104097114101104111108100101114115058032040105041032083111112104105101032065104109101100032040105105041032070097114097104032066097114117097059032078111046032111102032115104097114101115058032049053044052055049044048048048032115104097114101115010050046032078097109101032111102032115104097114101104111108100101114115058032040105041032083111112104105101032065104109101100032040105105041032077111110105115104097032065104109101100059032078111046032111102032115104097114101115058032049053044052055049044048048048032115104097114101115010051046032078097109101032111102032115104097114101104111108100101114115058032040105041032083111112104105101032065104109101100032040105105041032083097114097032065104109101100059032078111046032111102032115104097114101115058032049049044051050050044050053048032115104097114101115010052046032078097109101032111102032115104097114101104111108100101114115058032040105041032083111112104105101032065104109101100032040105105041032070097114097104032066097114117097032040105105105041032077111110105115104097032065104109101100059032078111046032111102032115104097114101115058032051044055049055044055053048032115104097114101115</t>
  </si>
  <si>
    <t>082117109097110097032072097109105101100032104111108100115032115104097114101115032105110032109111114101032116104097110032111110101032100101109097116032097099099111117110116046032065115032112101114032083069066073032067105114099117108097114032110111046032067073082047067070068047067077068047049051047050048049053032100097116101100032051048032078111118101109098101114032050048049053044032115104097114101104111108100105110103032111102032112114111109111116101114032097110100032112114111109111116101114032103114111117112032105115032116111032098101032099111110115111108105100097116101100032111110032116104101032098097115105115032111102032080065078032040102105114115116032104111108100101114032105110032099097115101032111102032106111105110116032115104097114101104111108100105110103041046032073110032066083069032088066082076032102105108105105110103032115121115116101109044032105102032116104101032115104097114101104111108100105110103032105115032099108117098098101100032116104101110032105116032114101115117108116115032105110032116104101032100105102102101114101110099101032105110032116104101032110117109098101114032111102032115104097114101104111108100101114115032097115032112101114032097099116117097108032115104097114101104111108100105110103032112097116116101114110032097115032097103097105110115116032116104101032110117109098101114032111102032115104097114101104111108100101114115032103101110101114097116101100032098121032066083069032088066082076032102105108105110103032115121115116101109046032072101110099101044032115104097114101104111108100105110103032104097115032098101101110032115104111119110032115101112097114097116101108121032105110032066083069032088066082076032102105108105110103032115121115116101109046032084104101032098114101097107045117112032100101116097105108115032111102032115104097114101104111108100105110103032097115032111110032051048116104032083101112116101109098101114044032050048049056032105115032097115032117110100101114058010010049046032078097109101032111102032115104097114101104111108100101114058032082117109097110097032072097109105101100059032078111046032111102032115104097114101115058032053044052055050044048048048032115104097114101115010050046032078097109101032111102032115104097114101104111108100101114115058032040105041032082117109097110097032072097109105101100032040105105041032083104105114105110032072097109105101100059032078111046032111102032115104097114101115058032052044052049052044053048048</t>
  </si>
  <si>
    <t>083097109105110097032086097122105114097108108105032104111108100115032115104097114101115032105110032109111114101032116104097110032111110101032100101109097116032097099099111117110116046032065115032112101114032083069066073032067105114099117108097114032110111046032067073082047067070068047067077068047049051047050048049053032100097116101100032051048032078111118101109098101114032050048049053044032115104097114101104111108100105110103032111102032112114111109111116101114032097110100032112114111109111116101114032103114111117112032105115032116111032098101032099111110115111108105100097116101100032111110032116104101032098097115105115032111102032080065078032040102105114115116032104111108100101114032105110032099097115101032111102032106111105110116032115104097114101104111108100105110103041046032073110032066083069032088066082076032102105108105105110103032115121115116101109044032105102032116104101032115104097114101104111108100105110103032105115032099108117098098101100032116104101110032105116032114101115117108116115032105110032116104101032100105102102101114101110099101032105110032116104101032110117109098101114032111102032115104097114101104111108100101114115032097115032112101114032097099116117097108032115104097114101104111108100105110103032112097116116101114110032097115032097103097105110115116032116104101032110117109098101114032111102032115104097114101104111108100101114115032103101110101114097116101100032098121032066083069032088066082076032102105108105110103032115121115116101109046032072101110099101044032115104097114101104111108100105110103032104097115032098101101110032115104111119110032115101112097114097116101108121032105110032066083069032088066082076032102105108105110103032115121115116101109046032084104101032098114101097107045117112032100101116097105108115032111102032115104097114101104111108100105110103032097115032111110032051048116104032083101112116101109098101114044032050048049056032105115032097115032117110100101114058010010049046032078097109101032111102032115104097114101104111108100101114058032083097109105110097032086097122105114097108108105059032078111046032111102032115104097114101115058032049051044053051049044048048048032115104097114101115010050046032078097109101032111102032115104097114101104111108100101114058032040105041032083097109105110097032086097122105114097108108105032040105105041032083104105114105110032072097109105101100059032078111046032111102032115104097114101115058032052044051055056044053048048032115104097114101115</t>
  </si>
  <si>
    <t>075097109105108032072097109105101100032104111108100115032115104097114101115032105110032109111114101032116104097110032111110101032100101109097116032097099099111117110116046032065115032112101114032083069066073032067105114099117108097114032110111046032067073082047067070068047067077068047049051047050048049053032100097116101100032051048032078111118101109098101114032050048049053044032115104097114101104111108100105110103032111102032112114111109111116101114032097110100032112114111109111116101114032103114111117112032105115032116111032098101032099111110115111108105100097116101100032111110032116104101032098097115105115032111102032080065078032040102105114115116032104111108100101114032105110032099097115101032111102032106111105110116032115104097114101104111108100105110103041046032073110032066083069032088066082076032102105108105105110103032115121115116101109044032105102032116104101032115104097114101104111108100105110103032105115032099108117098098101100032116104101110032105116032114101115117108116115032105110032116104101032100105102102101114101110099101032105110032116104101032110117109098101114032111102032115104097114101104111108100101114115032097115032112101114032097099116117097108032115104097114101104111108100105110103032112097116116101114110032097115032097103097105110115116032116104101032110117109098101114032111102032115104097114101104111108100101114115032103101110101114097116101100032098121032066083069032088066082076032102105108105110103032115121115116101109046032072101110099101044032115104097114101104111108100105110103032104097115032098101101110032115104111119110032115101112097114097116101108121032105110032066083069032088066082076032102105108105110103032115121115116101109046032084104101032098114101097107045117112032100101116097105108115032111102032115104097114101104111108100105110103032097115032111110032051048116104032083101112116101109098101114044032050048049056032105115032097115032117110100101114058010010049046032078097109101032111102032115104097114101104111108100101114058032075097109105108032072097109105101100059032078111046032111102032115104097114101115058032054044051053052044048048048032115104097114101115010050046032078097109101032111102032115104097114101104111108100101114115058032040105041032075097109105108032072097109105101100032040105105041032083104105114105110032072097109105101100059032078111046032111102032115104097114101115058032052044052057053044053048048032115104097114101115010051046032078097109101032111102032115104097114101104111108100101114115058032040105041032075097109105108032072097109105101100032040105105041032082117109097110097032072097109105101100032040105105105041032083097109105110097032086097122105114097108108105059032078111046032111102032115104097114101115058032057048044048048048032115104097114101115</t>
  </si>
  <si>
    <t>Details of the SBO</t>
  </si>
  <si>
    <t>Name</t>
  </si>
  <si>
    <t xml:space="preserve">PAN </t>
  </si>
  <si>
    <t>Passport No. in case of a foreign national</t>
  </si>
  <si>
    <t>Nationality</t>
  </si>
  <si>
    <t>Details of the registered owner</t>
  </si>
  <si>
    <t>Details of holding/ exercise of right of the SBO in the reporting company, whether direct or indirect*:</t>
  </si>
  <si>
    <t>Whether by virtue of:</t>
  </si>
  <si>
    <t>Shares</t>
  </si>
  <si>
    <t>Voting rights</t>
  </si>
  <si>
    <t>Exercise of control</t>
  </si>
  <si>
    <t>NA</t>
  </si>
  <si>
    <t>Whether the listed entity has any significant beneficial owner?</t>
  </si>
  <si>
    <t>India</t>
  </si>
  <si>
    <t>United Kingdom</t>
  </si>
  <si>
    <t>Hong Kong</t>
  </si>
  <si>
    <t>China</t>
  </si>
  <si>
    <t>Mauritius</t>
  </si>
  <si>
    <t>Singapore</t>
  </si>
  <si>
    <t>Japan</t>
  </si>
  <si>
    <t>United States of America</t>
  </si>
  <si>
    <t>Any other</t>
  </si>
  <si>
    <t>significant beneficial owners</t>
  </si>
  <si>
    <t>SBO</t>
  </si>
  <si>
    <t>Nationality (Applicable in case of Any other is selected)</t>
  </si>
  <si>
    <t>NameOfRegisteredOwner</t>
  </si>
  <si>
    <t>PANOfRegisteredOwner</t>
  </si>
  <si>
    <t>NationalityOfRegisteredOwner</t>
  </si>
  <si>
    <t>Name of SBO</t>
  </si>
  <si>
    <t>PAN of SBO</t>
  </si>
  <si>
    <t>Passport No. in case of a foreign national of SBO</t>
  </si>
  <si>
    <t>Nationality of SBO</t>
  </si>
  <si>
    <t>Nationality (Applicable in case of Any other is selected) of SBO</t>
  </si>
  <si>
    <t>Name of RegisteredOwner</t>
  </si>
  <si>
    <t>PAN of RegisteredOwner</t>
  </si>
  <si>
    <t>Passport No. in case of a foreign national of RegisteredOwner</t>
  </si>
  <si>
    <t>Nationality of RegisteredOwner</t>
  </si>
  <si>
    <t>Nationality (Applicable in case of Any other is selected) of RegisteredOwner</t>
  </si>
  <si>
    <t>Date of creation / acquisition of significant beneficial interest</t>
  </si>
  <si>
    <t>WhetherTheListedEntityHasAnySignificantBeneficialOwner</t>
  </si>
  <si>
    <t>Rights on distributable dividend or any other distribution</t>
  </si>
  <si>
    <t>Exercise of significant influence</t>
  </si>
  <si>
    <t>Voting rights SBO</t>
  </si>
  <si>
    <t>NameOfSignificantBeneficialOwners</t>
  </si>
  <si>
    <t>PANOfSignificantBeneficialOwners</t>
  </si>
  <si>
    <t>PassportNoOfSignificantBeneficialOwners</t>
  </si>
  <si>
    <t>NationalityOfSignificantBeneficialOwners</t>
  </si>
  <si>
    <t>DescriptionOfOtherNationalityOfSignificantBeneficialOwners</t>
  </si>
  <si>
    <t>PassportNoOfRegisteredOwner</t>
  </si>
  <si>
    <t>DescriptionOfOtherNationalityOfRegisteredOwner</t>
  </si>
  <si>
    <t>DetailsOfHoldingExerciseOfRightOfTheSBOInTheReportingCompanyWhetherByVirtueOfShares</t>
  </si>
  <si>
    <t>DetailsOfHoldingExerciseOfRightOfTheSBOInTheReportingCompanyWhetherByVirtueOfVotingRights</t>
  </si>
  <si>
    <t>DetailsOfHoldingExerciseOfRightOfTheSBOInTheReportingCompanyWhetherByVirtueOfRightsOnDistributableDividendOrAnyOtherDistribution</t>
  </si>
  <si>
    <t>DetailsOfHoldingExerciseOfRightOfTheSBOInTheReportingCompanyWhetherByVirtueOfExerciseOfControl</t>
  </si>
  <si>
    <t>DetailsOfHoldingExerciseOfRightOfTheSBOInTheReportingCompanyWhetherByVirtueOfExerciseOfSignificantInfluence</t>
  </si>
  <si>
    <t>DateOfCreationOrAcquisitionOfSignificantBeneficialInterest</t>
  </si>
  <si>
    <t>BHAVIN NITIN MEHTA</t>
  </si>
  <si>
    <t>AABPM2843E</t>
  </si>
  <si>
    <t>PURVI  B  MEHTA</t>
  </si>
  <si>
    <t>AACPB2616H</t>
  </si>
  <si>
    <t>NITIN K. MEHTA HUF</t>
  </si>
  <si>
    <t>AABHN8686A</t>
  </si>
  <si>
    <t>ANSHUL  N  MEHTA</t>
  </si>
  <si>
    <t>AABPM2842F</t>
  </si>
  <si>
    <t>BHARATI NITIN MEHTA</t>
  </si>
  <si>
    <t>AABPM9935B</t>
  </si>
  <si>
    <t>NITIN KALIDAS MEHTA</t>
  </si>
  <si>
    <t>AABPM9937D</t>
  </si>
  <si>
    <t>TYCARATI JEWELLERY PRIVATE LIMITED</t>
  </si>
  <si>
    <t>AABCG2125Q</t>
  </si>
  <si>
    <t>INDIA SHOPPING MALL . COM . PVT  LT</t>
  </si>
  <si>
    <t>AAACG5432F</t>
  </si>
  <si>
    <t>PRADEEP  H. PATEL</t>
  </si>
  <si>
    <t>AABPP6222C</t>
  </si>
  <si>
    <t>RAVINDRA KOTHARI</t>
  </si>
  <si>
    <t>AAAPK8825B</t>
  </si>
  <si>
    <t>RUCHI HARDIK SHAH</t>
  </si>
  <si>
    <t>AXVPS3905N</t>
  </si>
  <si>
    <t>TEJAL ASHISH MEHTA</t>
  </si>
  <si>
    <t>AAHPM3608F</t>
  </si>
  <si>
    <t>ASHISH  KANTILAL  MEHTA</t>
  </si>
  <si>
    <t>AAJPM6568Q</t>
  </si>
  <si>
    <t>NAMIT  ASHISH  MEHTA</t>
  </si>
  <si>
    <t>AZNPM9095P</t>
  </si>
  <si>
    <t>NITA SHAILESHKUMAR MEHTA</t>
  </si>
  <si>
    <t>AACPM9561C</t>
  </si>
  <si>
    <t>512091</t>
  </si>
  <si>
    <t>INE425H01016</t>
  </si>
  <si>
    <t>Anshuni Commercials Ltd</t>
  </si>
  <si>
    <t>30-09-2019</t>
  </si>
</sst>
</file>

<file path=xl/styles.xml><?xml version="1.0" encoding="utf-8"?>
<styleSheet xmlns="http://schemas.openxmlformats.org/spreadsheetml/2006/main">
  <numFmts count="4">
    <numFmt numFmtId="43" formatCode="_ * #,##0.00_ ;_ * \-#,##0.00_ ;_ * &quot;-&quot;??_ ;_ @_ "/>
    <numFmt numFmtId="164" formatCode="0;[Red]0"/>
    <numFmt numFmtId="165" formatCode="0.00;[Red]0.00"/>
    <numFmt numFmtId="166" formatCode="#,##0.00;[Red]#,##0.00"/>
  </numFmts>
  <fonts count="40">
    <font>
      <sz val="11"/>
      <color theme="1"/>
      <name val="Calibri"/>
      <family val="2"/>
      <scheme val="minor"/>
    </font>
    <font>
      <b/>
      <sz val="11"/>
      <color theme="1"/>
      <name val="Calibri"/>
      <family val="2"/>
      <scheme val="minor"/>
    </font>
    <font>
      <u/>
      <sz val="11"/>
      <color theme="10"/>
      <name val="Calibri"/>
      <family val="2"/>
      <scheme val="minor"/>
    </font>
    <font>
      <b/>
      <sz val="12"/>
      <color theme="1"/>
      <name val="Calibri"/>
      <family val="2"/>
      <scheme val="minor"/>
    </font>
    <font>
      <sz val="12"/>
      <color theme="1"/>
      <name val="Calibri"/>
      <family val="2"/>
      <scheme val="minor"/>
    </font>
    <font>
      <b/>
      <sz val="16"/>
      <color rgb="FF333333"/>
      <name val="Calibri"/>
      <family val="2"/>
      <scheme val="minor"/>
    </font>
    <font>
      <b/>
      <sz val="16"/>
      <color theme="1"/>
      <name val="Calibri"/>
      <family val="2"/>
      <scheme val="minor"/>
    </font>
    <font>
      <b/>
      <sz val="12"/>
      <color rgb="FF333333"/>
      <name val="Calibri"/>
      <family val="2"/>
      <scheme val="minor"/>
    </font>
    <font>
      <b/>
      <sz val="11"/>
      <color rgb="FFD8D8D8"/>
      <name val="Calibri"/>
      <family val="2"/>
      <scheme val="minor"/>
    </font>
    <font>
      <sz val="11"/>
      <color theme="1"/>
      <name val="Calibri"/>
      <family val="2"/>
      <scheme val="minor"/>
    </font>
    <font>
      <b/>
      <sz val="14"/>
      <color theme="1"/>
      <name val="Calibri"/>
      <family val="2"/>
      <scheme val="minor"/>
    </font>
    <font>
      <b/>
      <sz val="11"/>
      <color theme="3"/>
      <name val="Calibri"/>
      <family val="2"/>
      <scheme val="minor"/>
    </font>
    <font>
      <u/>
      <sz val="11"/>
      <color theme="10"/>
      <name val="Calibri"/>
      <family val="2"/>
    </font>
    <font>
      <sz val="10"/>
      <name val="Arial"/>
      <family val="2"/>
    </font>
    <font>
      <b/>
      <sz val="10"/>
      <name val="Arial"/>
      <family val="2"/>
    </font>
    <font>
      <sz val="11"/>
      <name val="Arial"/>
      <family val="2"/>
    </font>
    <font>
      <b/>
      <sz val="12"/>
      <color indexed="8"/>
      <name val="Times New Roman"/>
      <family val="1"/>
    </font>
    <font>
      <sz val="10"/>
      <color indexed="8"/>
      <name val="Arial"/>
      <family val="2"/>
    </font>
    <font>
      <sz val="10"/>
      <name val="Verdana"/>
      <family val="2"/>
    </font>
    <font>
      <sz val="10"/>
      <name val="Times New Roman"/>
      <family val="1"/>
    </font>
    <font>
      <sz val="8"/>
      <name val="ＭＳ Ｐゴシック"/>
      <family val="3"/>
      <charset val="128"/>
    </font>
    <font>
      <b/>
      <sz val="12"/>
      <name val="Times New Roman"/>
      <family val="1"/>
    </font>
    <font>
      <sz val="10"/>
      <color indexed="8"/>
      <name val="Verdana"/>
      <family val="2"/>
    </font>
    <font>
      <sz val="11"/>
      <color theme="0"/>
      <name val="Calibri"/>
      <family val="2"/>
      <scheme val="minor"/>
    </font>
    <font>
      <u/>
      <sz val="11"/>
      <color theme="1"/>
      <name val="Calibri"/>
      <family val="2"/>
      <scheme val="minor"/>
    </font>
    <font>
      <b/>
      <u/>
      <sz val="12"/>
      <color theme="1"/>
      <name val="Calibri"/>
      <family val="2"/>
      <scheme val="minor"/>
    </font>
    <font>
      <b/>
      <u/>
      <sz val="12"/>
      <color rgb="FFFF0000"/>
      <name val="Calibri"/>
      <family val="2"/>
      <scheme val="minor"/>
    </font>
    <font>
      <b/>
      <sz val="11"/>
      <color rgb="FF333333"/>
      <name val="Calibri"/>
      <family val="2"/>
      <scheme val="minor"/>
    </font>
    <font>
      <b/>
      <sz val="14"/>
      <color theme="0"/>
      <name val="Calibri"/>
      <family val="2"/>
      <scheme val="minor"/>
    </font>
    <font>
      <sz val="11"/>
      <color rgb="FFFF0000"/>
      <name val="Calibri"/>
      <family val="2"/>
      <scheme val="minor"/>
    </font>
    <font>
      <sz val="11"/>
      <color theme="4" tint="-0.249977111117893"/>
      <name val="Calibri"/>
      <family val="2"/>
      <scheme val="minor"/>
    </font>
    <font>
      <sz val="11"/>
      <color theme="5" tint="-0.249977111117893"/>
      <name val="Calibri"/>
      <family val="2"/>
      <scheme val="minor"/>
    </font>
    <font>
      <sz val="11"/>
      <color rgb="FF7030A0"/>
      <name val="Calibri"/>
      <family val="2"/>
      <scheme val="minor"/>
    </font>
    <font>
      <b/>
      <sz val="11"/>
      <color theme="5" tint="-0.249977111117893"/>
      <name val="Calibri"/>
      <family val="2"/>
      <scheme val="minor"/>
    </font>
    <font>
      <b/>
      <sz val="11"/>
      <color theme="4" tint="-0.249977111117893"/>
      <name val="Calibri"/>
      <family val="2"/>
      <scheme val="minor"/>
    </font>
    <font>
      <b/>
      <sz val="11"/>
      <color rgb="FFFF0000"/>
      <name val="Calibri"/>
      <family val="2"/>
      <scheme val="minor"/>
    </font>
    <font>
      <b/>
      <sz val="11"/>
      <color rgb="FF7030A0"/>
      <name val="Calibri"/>
      <family val="2"/>
      <scheme val="minor"/>
    </font>
    <font>
      <sz val="9"/>
      <color theme="1"/>
      <name val="Calibri"/>
      <family val="2"/>
      <scheme val="minor"/>
    </font>
    <font>
      <sz val="10"/>
      <color theme="1"/>
      <name val="Calibri"/>
      <family val="2"/>
      <scheme val="minor"/>
    </font>
    <font>
      <sz val="11"/>
      <color rgb="FF000000"/>
      <name val="Calibri"/>
      <family val="2"/>
      <scheme val="minor"/>
    </font>
  </fonts>
  <fills count="20">
    <fill>
      <patternFill patternType="none"/>
    </fill>
    <fill>
      <patternFill patternType="gray125"/>
    </fill>
    <fill>
      <patternFill patternType="solid">
        <fgColor theme="0" tint="-0.14996795556505021"/>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bgColor indexed="64"/>
      </patternFill>
    </fill>
    <fill>
      <patternFill patternType="solid">
        <fgColor rgb="FF92CDDC"/>
        <bgColor indexed="64"/>
      </patternFill>
    </fill>
    <fill>
      <patternFill patternType="solid">
        <fgColor rgb="FFFFFFFF"/>
        <bgColor indexed="64"/>
      </patternFill>
    </fill>
    <fill>
      <patternFill patternType="solid">
        <fgColor rgb="FFDDEBF7"/>
        <bgColor indexed="64"/>
      </patternFill>
    </fill>
    <fill>
      <patternFill patternType="solid">
        <fgColor rgb="FFF2F2F2"/>
        <bgColor indexed="64"/>
      </patternFill>
    </fill>
    <fill>
      <patternFill patternType="solid">
        <fgColor rgb="FFDDEBF5"/>
        <bgColor indexed="64"/>
      </patternFill>
    </fill>
    <fill>
      <patternFill patternType="solid">
        <fgColor rgb="FFD8D8D8"/>
        <bgColor indexed="64"/>
      </patternFill>
    </fill>
    <fill>
      <patternFill patternType="solid">
        <fgColor rgb="FFD9D9D9"/>
        <bgColor indexed="64"/>
      </patternFill>
    </fill>
    <fill>
      <patternFill patternType="solid">
        <fgColor indexed="44"/>
        <bgColor indexed="64"/>
      </patternFill>
    </fill>
    <fill>
      <patternFill patternType="solid">
        <fgColor indexed="9"/>
        <bgColor indexed="64"/>
      </patternFill>
    </fill>
    <fill>
      <patternFill patternType="solid">
        <fgColor indexed="65"/>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rgb="FF92CDE1"/>
        <bgColor indexed="64"/>
      </patternFill>
    </fill>
  </fills>
  <borders count="49">
    <border>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theme="4" tint="0.59996337778862885"/>
      </bottom>
      <diagonal/>
    </border>
    <border>
      <left style="thin">
        <color indexed="64"/>
      </left>
      <right style="thin">
        <color indexed="64"/>
      </right>
      <top style="thin">
        <color theme="4" tint="0.59996337778862885"/>
      </top>
      <bottom style="thin">
        <color theme="4" tint="0.59996337778862885"/>
      </bottom>
      <diagonal/>
    </border>
    <border>
      <left style="thin">
        <color indexed="64"/>
      </left>
      <right style="thin">
        <color indexed="64"/>
      </right>
      <top style="thin">
        <color theme="4" tint="0.59996337778862885"/>
      </top>
      <bottom style="thin">
        <color indexed="64"/>
      </bottom>
      <diagonal/>
    </border>
    <border>
      <left/>
      <right/>
      <top/>
      <bottom style="thin">
        <color indexed="64"/>
      </bottom>
      <diagonal/>
    </border>
    <border>
      <left style="thin">
        <color indexed="64"/>
      </left>
      <right style="thin">
        <color indexed="64"/>
      </right>
      <top style="thin">
        <color theme="4" tint="0.59996337778862885"/>
      </top>
      <bottom/>
      <diagonal/>
    </border>
    <border>
      <left style="thin">
        <color indexed="64"/>
      </left>
      <right style="thin">
        <color indexed="64"/>
      </right>
      <top style="thin">
        <color indexed="64"/>
      </top>
      <bottom style="thin">
        <color theme="4"/>
      </bottom>
      <diagonal/>
    </border>
    <border>
      <left style="thin">
        <color indexed="64"/>
      </left>
      <right style="thin">
        <color indexed="64"/>
      </right>
      <top style="thin">
        <color theme="4"/>
      </top>
      <bottom style="thin">
        <color theme="4"/>
      </bottom>
      <diagonal/>
    </border>
    <border>
      <left style="thin">
        <color indexed="64"/>
      </left>
      <right style="thin">
        <color indexed="64"/>
      </right>
      <top style="thin">
        <color theme="4"/>
      </top>
      <bottom/>
      <diagonal/>
    </border>
    <border>
      <left style="thin">
        <color indexed="64"/>
      </left>
      <right style="thin">
        <color indexed="64"/>
      </right>
      <top/>
      <bottom style="thin">
        <color theme="4"/>
      </bottom>
      <diagonal/>
    </border>
    <border>
      <left style="thin">
        <color indexed="64"/>
      </left>
      <right/>
      <top style="thin">
        <color theme="4"/>
      </top>
      <bottom style="thin">
        <color theme="4"/>
      </bottom>
      <diagonal/>
    </border>
    <border>
      <left/>
      <right/>
      <top style="thin">
        <color theme="4"/>
      </top>
      <bottom style="thin">
        <color theme="4"/>
      </bottom>
      <diagonal/>
    </border>
    <border>
      <left/>
      <right style="thin">
        <color indexed="64"/>
      </right>
      <top style="thin">
        <color theme="4"/>
      </top>
      <bottom style="thin">
        <color theme="4"/>
      </bottom>
      <diagonal/>
    </border>
    <border>
      <left/>
      <right/>
      <top style="thin">
        <color indexed="64"/>
      </top>
      <bottom style="thin">
        <color theme="4"/>
      </bottom>
      <diagonal/>
    </border>
    <border>
      <left/>
      <right style="thin">
        <color indexed="64"/>
      </right>
      <top style="thin">
        <color indexed="64"/>
      </top>
      <bottom style="thin">
        <color theme="4"/>
      </bottom>
      <diagonal/>
    </border>
    <border>
      <left style="thin">
        <color indexed="64"/>
      </left>
      <right/>
      <top style="thin">
        <color theme="4"/>
      </top>
      <bottom/>
      <diagonal/>
    </border>
    <border>
      <left/>
      <right style="thin">
        <color indexed="64"/>
      </right>
      <top style="thin">
        <color theme="4"/>
      </top>
      <bottom/>
      <diagonal/>
    </border>
    <border>
      <left style="thin">
        <color indexed="64"/>
      </left>
      <right/>
      <top/>
      <bottom style="thin">
        <color theme="4"/>
      </bottom>
      <diagonal/>
    </border>
    <border>
      <left/>
      <right style="thin">
        <color indexed="64"/>
      </right>
      <top/>
      <bottom style="thin">
        <color theme="4"/>
      </bottom>
      <diagonal/>
    </border>
    <border>
      <left/>
      <right/>
      <top/>
      <bottom style="thin">
        <color theme="4"/>
      </bottom>
      <diagonal/>
    </border>
    <border>
      <left/>
      <right/>
      <top style="thin">
        <color indexed="64"/>
      </top>
      <bottom/>
      <diagonal/>
    </border>
    <border>
      <left style="thin">
        <color indexed="64"/>
      </left>
      <right/>
      <top style="thin">
        <color theme="4"/>
      </top>
      <bottom style="thin">
        <color indexed="64"/>
      </bottom>
      <diagonal/>
    </border>
    <border>
      <left/>
      <right/>
      <top style="thin">
        <color theme="4"/>
      </top>
      <bottom style="thin">
        <color indexed="64"/>
      </bottom>
      <diagonal/>
    </border>
    <border>
      <left/>
      <right style="thin">
        <color indexed="64"/>
      </right>
      <top style="thin">
        <color theme="4"/>
      </top>
      <bottom style="thin">
        <color indexed="64"/>
      </bottom>
      <diagonal/>
    </border>
    <border>
      <left style="thin">
        <color indexed="64"/>
      </left>
      <right/>
      <top style="thin">
        <color indexed="64"/>
      </top>
      <bottom style="thin">
        <color theme="4" tint="0.39994506668294322"/>
      </bottom>
      <diagonal/>
    </border>
    <border>
      <left style="thin">
        <color indexed="64"/>
      </left>
      <right/>
      <top style="thin">
        <color theme="4" tint="0.39994506668294322"/>
      </top>
      <bottom style="thin">
        <color theme="4" tint="0.39994506668294322"/>
      </bottom>
      <diagonal/>
    </border>
    <border>
      <left style="thin">
        <color indexed="64"/>
      </left>
      <right/>
      <top style="thin">
        <color theme="4" tint="0.39994506668294322"/>
      </top>
      <bottom style="thin">
        <color indexed="64"/>
      </bottom>
      <diagonal/>
    </border>
    <border>
      <left style="thin">
        <color indexed="64"/>
      </left>
      <right/>
      <top style="thin">
        <color indexed="64"/>
      </top>
      <bottom style="thin">
        <color theme="4" tint="-0.24994659260841701"/>
      </bottom>
      <diagonal/>
    </border>
    <border>
      <left style="thin">
        <color indexed="64"/>
      </left>
      <right/>
      <top style="thin">
        <color theme="4" tint="-0.24994659260841701"/>
      </top>
      <bottom style="thin">
        <color theme="4" tint="-0.24994659260841701"/>
      </bottom>
      <diagonal/>
    </border>
    <border>
      <left style="thin">
        <color indexed="64"/>
      </left>
      <right/>
      <top style="thin">
        <color theme="4" tint="-0.24994659260841701"/>
      </top>
      <bottom style="thin">
        <color indexed="64"/>
      </bottom>
      <diagonal/>
    </border>
    <border>
      <left/>
      <right/>
      <top/>
      <bottom style="thin">
        <color theme="4" tint="-0.24994659260841701"/>
      </bottom>
      <diagonal/>
    </border>
    <border>
      <left/>
      <right style="thin">
        <color indexed="64"/>
      </right>
      <top style="thin">
        <color indexed="64"/>
      </top>
      <bottom style="thin">
        <color theme="4" tint="-0.24994659260841701"/>
      </bottom>
      <diagonal/>
    </border>
    <border>
      <left style="thin">
        <color indexed="64"/>
      </left>
      <right style="thin">
        <color indexed="64"/>
      </right>
      <top/>
      <bottom style="thin">
        <color theme="4" tint="0.59996337778862885"/>
      </bottom>
      <diagonal/>
    </border>
    <border>
      <left style="thin">
        <color theme="1"/>
      </left>
      <right style="thin">
        <color theme="1"/>
      </right>
      <top style="thin">
        <color theme="1"/>
      </top>
      <bottom style="thin">
        <color theme="1"/>
      </bottom>
      <diagonal/>
    </border>
    <border>
      <left style="thin">
        <color indexed="64"/>
      </left>
      <right style="thin">
        <color indexed="64"/>
      </right>
      <top style="thin">
        <color theme="4" tint="0.59996337778862885"/>
      </top>
      <bottom style="thin">
        <color theme="4" tint="0.39997558519241921"/>
      </bottom>
      <diagonal/>
    </border>
    <border>
      <left style="thin">
        <color indexed="64"/>
      </left>
      <right style="thin">
        <color indexed="64"/>
      </right>
      <top style="thin">
        <color indexed="64"/>
      </top>
      <bottom style="thin">
        <color theme="4" tint="0.39997558519241921"/>
      </bottom>
      <diagonal/>
    </border>
  </borders>
  <cellStyleXfs count="6">
    <xf numFmtId="0" fontId="0" fillId="0" borderId="0"/>
    <xf numFmtId="0" fontId="2" fillId="0" borderId="0" applyNumberFormat="0" applyFill="0" applyBorder="0" applyAlignment="0" applyProtection="0"/>
    <xf numFmtId="43" fontId="9" fillId="0" borderId="0" applyFont="0" applyFill="0" applyBorder="0" applyAlignment="0" applyProtection="0"/>
    <xf numFmtId="0" fontId="12" fillId="0" borderId="0" applyNumberFormat="0" applyFill="0" applyBorder="0" applyAlignment="0" applyProtection="0">
      <alignment vertical="top"/>
      <protection locked="0"/>
    </xf>
    <xf numFmtId="0" fontId="13" fillId="0" borderId="0"/>
    <xf numFmtId="0" fontId="20" fillId="0" borderId="0" applyNumberFormat="0" applyFill="0" applyBorder="0">
      <alignment vertical="center"/>
    </xf>
  </cellStyleXfs>
  <cellXfs count="566">
    <xf numFmtId="0" fontId="0" fillId="0" borderId="0" xfId="0"/>
    <xf numFmtId="0" fontId="0" fillId="5" borderId="4" xfId="0" applyFill="1" applyBorder="1"/>
    <xf numFmtId="0" fontId="0" fillId="0" borderId="11" xfId="0" applyBorder="1" applyAlignment="1">
      <alignment horizontal="center"/>
    </xf>
    <xf numFmtId="0" fontId="0" fillId="0" borderId="12" xfId="0" applyBorder="1" applyAlignment="1">
      <alignment horizontal="center"/>
    </xf>
    <xf numFmtId="0" fontId="0" fillId="5" borderId="4" xfId="0" applyFill="1" applyBorder="1" applyProtection="1">
      <protection hidden="1"/>
    </xf>
    <xf numFmtId="0" fontId="0" fillId="0" borderId="0" xfId="0" applyAlignment="1">
      <alignment horizontal="left"/>
    </xf>
    <xf numFmtId="0" fontId="3" fillId="0" borderId="0" xfId="0" applyFont="1"/>
    <xf numFmtId="0" fontId="0" fillId="0" borderId="0" xfId="0" applyAlignment="1"/>
    <xf numFmtId="0" fontId="4" fillId="0" borderId="0" xfId="0" applyFont="1"/>
    <xf numFmtId="49" fontId="3" fillId="7" borderId="4" xfId="0" applyNumberFormat="1" applyFont="1" applyFill="1" applyBorder="1" applyAlignment="1">
      <alignment horizontal="center" vertical="center"/>
    </xf>
    <xf numFmtId="0" fontId="0" fillId="0" borderId="4" xfId="0" applyBorder="1" applyAlignment="1" applyProtection="1">
      <alignment horizontal="right"/>
      <protection locked="0"/>
    </xf>
    <xf numFmtId="0" fontId="0" fillId="0" borderId="0" xfId="0" applyAlignment="1">
      <alignment horizontal="right"/>
    </xf>
    <xf numFmtId="0" fontId="0" fillId="0" borderId="11" xfId="0" applyBorder="1" applyAlignment="1">
      <alignment horizontal="center"/>
    </xf>
    <xf numFmtId="0" fontId="0" fillId="0" borderId="12"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164" fontId="0" fillId="0" borderId="4" xfId="0" applyNumberFormat="1" applyBorder="1" applyAlignment="1" applyProtection="1">
      <alignment horizontal="right"/>
      <protection locked="0"/>
    </xf>
    <xf numFmtId="165" fontId="0" fillId="5" borderId="4" xfId="0" applyNumberFormat="1" applyFill="1" applyBorder="1" applyAlignment="1" applyProtection="1">
      <alignment horizontal="right"/>
    </xf>
    <xf numFmtId="0" fontId="0" fillId="0" borderId="0" xfId="0" applyProtection="1"/>
    <xf numFmtId="0" fontId="0" fillId="0" borderId="15" xfId="0" applyBorder="1" applyAlignment="1" applyProtection="1">
      <alignment horizontal="left" vertical="center" indent="2"/>
    </xf>
    <xf numFmtId="0" fontId="0" fillId="0" borderId="15" xfId="0" applyBorder="1" applyAlignment="1" applyProtection="1">
      <alignment horizontal="left" vertical="center" wrapText="1" indent="2"/>
    </xf>
    <xf numFmtId="0" fontId="0" fillId="6" borderId="0" xfId="0" applyFill="1" applyBorder="1"/>
    <xf numFmtId="0" fontId="0" fillId="6" borderId="0" xfId="0" applyFill="1" applyBorder="1" applyProtection="1"/>
    <xf numFmtId="0" fontId="5" fillId="6" borderId="0" xfId="0" applyFont="1" applyFill="1" applyBorder="1" applyAlignment="1" applyProtection="1">
      <alignment horizontal="center" vertical="center"/>
    </xf>
    <xf numFmtId="0" fontId="0" fillId="6" borderId="0" xfId="0" applyFill="1" applyBorder="1" applyAlignment="1" applyProtection="1">
      <alignment horizontal="center" vertical="center"/>
    </xf>
    <xf numFmtId="0" fontId="0" fillId="6" borderId="0" xfId="0" applyFill="1" applyBorder="1" applyAlignment="1" applyProtection="1">
      <alignment horizontal="left" vertical="center"/>
    </xf>
    <xf numFmtId="0" fontId="0" fillId="6" borderId="0" xfId="0" applyFill="1" applyBorder="1" applyAlignment="1" applyProtection="1">
      <alignment horizontal="center" vertical="center"/>
      <protection locked="0"/>
    </xf>
    <xf numFmtId="0" fontId="0" fillId="0" borderId="14" xfId="0" applyBorder="1" applyAlignment="1" applyProtection="1">
      <alignment horizontal="center" vertical="center"/>
    </xf>
    <xf numFmtId="0" fontId="0" fillId="0" borderId="15" xfId="0" applyBorder="1" applyAlignment="1" applyProtection="1">
      <alignment horizontal="center" vertical="center"/>
    </xf>
    <xf numFmtId="0" fontId="0" fillId="0" borderId="16" xfId="0" applyBorder="1" applyAlignment="1" applyProtection="1">
      <alignment horizontal="center" vertical="center"/>
    </xf>
    <xf numFmtId="0" fontId="3" fillId="7" borderId="12" xfId="0" applyFont="1" applyFill="1" applyBorder="1" applyAlignment="1">
      <alignment vertical="center" wrapText="1"/>
    </xf>
    <xf numFmtId="0" fontId="3" fillId="7" borderId="13" xfId="0" applyFont="1" applyFill="1" applyBorder="1" applyAlignment="1">
      <alignment vertical="center" wrapText="1"/>
    </xf>
    <xf numFmtId="0" fontId="0" fillId="4" borderId="4" xfId="0" applyFont="1" applyFill="1" applyBorder="1" applyAlignment="1">
      <alignment horizontal="center" vertical="center" wrapText="1"/>
    </xf>
    <xf numFmtId="0" fontId="0" fillId="4" borderId="4" xfId="0" applyFill="1" applyBorder="1" applyAlignment="1">
      <alignment horizontal="center" vertical="center" wrapText="1"/>
    </xf>
    <xf numFmtId="2" fontId="0" fillId="5" borderId="4" xfId="0" applyNumberFormat="1" applyFill="1" applyBorder="1"/>
    <xf numFmtId="165" fontId="0" fillId="5" borderId="4" xfId="0" applyNumberFormat="1" applyFill="1" applyBorder="1"/>
    <xf numFmtId="0" fontId="2" fillId="2" borderId="12" xfId="1" applyFill="1" applyBorder="1" applyAlignment="1"/>
    <xf numFmtId="0" fontId="8" fillId="2" borderId="11" xfId="1" applyFont="1" applyFill="1" applyBorder="1" applyAlignment="1">
      <alignment horizontal="center"/>
    </xf>
    <xf numFmtId="0" fontId="1" fillId="3" borderId="11" xfId="0" applyFont="1" applyFill="1" applyBorder="1" applyAlignment="1">
      <alignment vertical="center"/>
    </xf>
    <xf numFmtId="0" fontId="1" fillId="3" borderId="12" xfId="0" applyFont="1" applyFill="1" applyBorder="1" applyAlignment="1">
      <alignment vertical="center"/>
    </xf>
    <xf numFmtId="0" fontId="0" fillId="4" borderId="4" xfId="0" applyFont="1" applyFill="1" applyBorder="1" applyAlignment="1">
      <alignment horizontal="center" vertical="center" wrapText="1"/>
    </xf>
    <xf numFmtId="0" fontId="0" fillId="4" borderId="4" xfId="0" applyFill="1" applyBorder="1" applyAlignment="1">
      <alignment horizontal="center" vertical="center" wrapText="1"/>
    </xf>
    <xf numFmtId="0" fontId="0" fillId="0" borderId="11" xfId="0" applyBorder="1" applyAlignment="1"/>
    <xf numFmtId="0" fontId="0" fillId="0" borderId="12" xfId="0" applyBorder="1" applyAlignment="1"/>
    <xf numFmtId="0" fontId="0" fillId="0" borderId="13" xfId="0" applyBorder="1" applyAlignment="1"/>
    <xf numFmtId="0" fontId="0" fillId="0" borderId="11" xfId="0" applyBorder="1"/>
    <xf numFmtId="164" fontId="0" fillId="9" borderId="4" xfId="0" applyNumberFormat="1" applyFill="1" applyBorder="1" applyAlignment="1" applyProtection="1">
      <alignment horizontal="right"/>
    </xf>
    <xf numFmtId="164" fontId="0" fillId="8" borderId="4" xfId="0" applyNumberFormat="1" applyFill="1" applyBorder="1" applyAlignment="1" applyProtection="1">
      <alignment horizontal="right"/>
      <protection locked="0"/>
    </xf>
    <xf numFmtId="164" fontId="0" fillId="5" borderId="4" xfId="0" applyNumberFormat="1" applyFill="1" applyBorder="1" applyAlignment="1" applyProtection="1">
      <alignment horizontal="right"/>
    </xf>
    <xf numFmtId="0" fontId="0" fillId="7" borderId="12" xfId="0" applyFill="1" applyBorder="1" applyAlignment="1"/>
    <xf numFmtId="0" fontId="0" fillId="7" borderId="13" xfId="0" applyFill="1" applyBorder="1" applyAlignment="1"/>
    <xf numFmtId="165" fontId="0" fillId="9" borderId="4" xfId="0" applyNumberFormat="1" applyFill="1" applyBorder="1" applyAlignment="1" applyProtection="1">
      <alignment horizontal="right"/>
    </xf>
    <xf numFmtId="0" fontId="3" fillId="7" borderId="11" xfId="0" applyFont="1" applyFill="1" applyBorder="1" applyAlignment="1">
      <alignment horizontal="left" vertical="center" wrapText="1" indent="1"/>
    </xf>
    <xf numFmtId="1" fontId="0" fillId="5" borderId="4" xfId="0" applyNumberFormat="1" applyFill="1" applyBorder="1"/>
    <xf numFmtId="0" fontId="0" fillId="0" borderId="4" xfId="0" applyBorder="1"/>
    <xf numFmtId="0" fontId="0" fillId="0" borderId="12" xfId="0" applyBorder="1"/>
    <xf numFmtId="0" fontId="0" fillId="0" borderId="4" xfId="0" applyBorder="1" applyAlignment="1">
      <alignment wrapText="1"/>
    </xf>
    <xf numFmtId="0" fontId="10" fillId="0" borderId="4" xfId="0" applyFont="1" applyBorder="1"/>
    <xf numFmtId="0" fontId="0" fillId="4" borderId="4" xfId="0" applyFont="1" applyFill="1" applyBorder="1" applyAlignment="1">
      <alignment horizontal="center" vertical="center" wrapText="1"/>
    </xf>
    <xf numFmtId="0" fontId="2" fillId="2" borderId="11" xfId="1" applyFill="1" applyBorder="1" applyAlignment="1"/>
    <xf numFmtId="0" fontId="2" fillId="2" borderId="12" xfId="1" applyFill="1" applyBorder="1" applyAlignment="1">
      <alignment horizontal="right" vertical="center"/>
    </xf>
    <xf numFmtId="0" fontId="7" fillId="7" borderId="11" xfId="0" applyFont="1" applyFill="1" applyBorder="1" applyAlignment="1" applyProtection="1">
      <alignment horizontal="center" vertical="center" wrapText="1"/>
    </xf>
    <xf numFmtId="0" fontId="2" fillId="2" borderId="13" xfId="1" applyFill="1" applyBorder="1" applyAlignment="1">
      <alignment horizontal="right" vertical="center"/>
    </xf>
    <xf numFmtId="0" fontId="0" fillId="0" borderId="0" xfId="0" applyFont="1"/>
    <xf numFmtId="1" fontId="0" fillId="5" borderId="4" xfId="0" applyNumberFormat="1" applyFill="1" applyBorder="1" applyProtection="1">
      <protection hidden="1"/>
    </xf>
    <xf numFmtId="0" fontId="0" fillId="4" borderId="4" xfId="0" applyFill="1" applyBorder="1" applyAlignment="1">
      <alignment horizontal="center" vertical="center" wrapText="1"/>
    </xf>
    <xf numFmtId="0" fontId="0" fillId="0" borderId="4" xfId="0" applyBorder="1" applyAlignment="1">
      <alignment horizontal="center"/>
    </xf>
    <xf numFmtId="2" fontId="0" fillId="0" borderId="0" xfId="0" applyNumberFormat="1"/>
    <xf numFmtId="2" fontId="0" fillId="4" borderId="4" xfId="0" applyNumberFormat="1" applyFont="1" applyFill="1" applyBorder="1" applyAlignment="1">
      <alignment horizontal="center" vertical="center" wrapText="1"/>
    </xf>
    <xf numFmtId="0" fontId="10" fillId="0" borderId="4" xfId="0" applyFont="1" applyBorder="1" applyAlignment="1">
      <alignment horizontal="right" wrapText="1"/>
    </xf>
    <xf numFmtId="0" fontId="2" fillId="2" borderId="13" xfId="1" applyFill="1" applyBorder="1" applyAlignment="1">
      <alignment horizontal="right"/>
    </xf>
    <xf numFmtId="0" fontId="3" fillId="7" borderId="11" xfId="0" applyFont="1" applyFill="1" applyBorder="1" applyAlignment="1">
      <alignment horizontal="left" vertical="center" indent="1"/>
    </xf>
    <xf numFmtId="49" fontId="3" fillId="7" borderId="11" xfId="0" applyNumberFormat="1" applyFont="1" applyFill="1" applyBorder="1" applyAlignment="1">
      <alignment horizontal="left" vertical="center" indent="1"/>
    </xf>
    <xf numFmtId="0" fontId="3" fillId="7" borderId="12" xfId="0" applyFont="1" applyFill="1" applyBorder="1" applyAlignment="1">
      <alignment horizontal="left" vertical="center" indent="1"/>
    </xf>
    <xf numFmtId="0" fontId="1" fillId="0" borderId="4" xfId="0" applyFont="1" applyBorder="1" applyAlignment="1">
      <alignment horizontal="left" wrapText="1" indent="2"/>
    </xf>
    <xf numFmtId="0" fontId="0" fillId="0" borderId="4" xfId="0" applyBorder="1" applyProtection="1">
      <protection locked="0"/>
    </xf>
    <xf numFmtId="0" fontId="0" fillId="0" borderId="0" xfId="0" applyAlignment="1">
      <alignment horizontal="center"/>
    </xf>
    <xf numFmtId="0" fontId="0" fillId="0" borderId="4" xfId="0" applyBorder="1" applyAlignment="1" applyProtection="1">
      <alignment horizontal="left"/>
      <protection locked="0"/>
    </xf>
    <xf numFmtId="164" fontId="0" fillId="5" borderId="4" xfId="0" applyNumberFormat="1" applyFill="1" applyBorder="1" applyProtection="1">
      <protection hidden="1"/>
    </xf>
    <xf numFmtId="166" fontId="0" fillId="5" borderId="4" xfId="0" applyNumberFormat="1" applyFill="1" applyBorder="1" applyProtection="1">
      <protection hidden="1"/>
    </xf>
    <xf numFmtId="164" fontId="1" fillId="5" borderId="4" xfId="0" applyNumberFormat="1" applyFont="1" applyFill="1" applyBorder="1" applyProtection="1">
      <protection hidden="1"/>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2" fillId="2" borderId="13" xfId="1" applyFill="1" applyBorder="1" applyAlignment="1">
      <alignment horizontal="right"/>
    </xf>
    <xf numFmtId="0" fontId="0" fillId="0" borderId="0" xfId="0" applyAlignment="1">
      <alignment horizontal="center" vertical="center"/>
    </xf>
    <xf numFmtId="0" fontId="0" fillId="0" borderId="4" xfId="0" applyBorder="1" applyAlignment="1" applyProtection="1">
      <alignment horizontal="center" vertical="center"/>
      <protection locked="0"/>
    </xf>
    <xf numFmtId="0" fontId="3" fillId="7" borderId="11" xfId="0" applyFont="1" applyFill="1" applyBorder="1" applyAlignment="1">
      <alignment vertical="center"/>
    </xf>
    <xf numFmtId="0" fontId="3" fillId="7" borderId="4" xfId="0" applyFont="1" applyFill="1" applyBorder="1" applyAlignment="1">
      <alignment horizontal="center" vertical="top"/>
    </xf>
    <xf numFmtId="0" fontId="0" fillId="0" borderId="9" xfId="0" applyBorder="1"/>
    <xf numFmtId="0" fontId="0" fillId="0" borderId="4" xfId="0" applyBorder="1" applyAlignment="1">
      <alignment horizontal="right"/>
    </xf>
    <xf numFmtId="0" fontId="0" fillId="12" borderId="17" xfId="0" applyFill="1" applyBorder="1"/>
    <xf numFmtId="49" fontId="3" fillId="7" borderId="12" xfId="0" applyNumberFormat="1" applyFont="1" applyFill="1" applyBorder="1" applyAlignment="1">
      <alignment horizontal="left" vertical="center" indent="1"/>
    </xf>
    <xf numFmtId="0" fontId="0" fillId="0" borderId="11" xfId="0" applyBorder="1" applyAlignment="1" applyProtection="1"/>
    <xf numFmtId="0" fontId="0" fillId="0" borderId="12" xfId="0" applyBorder="1" applyAlignment="1" applyProtection="1"/>
    <xf numFmtId="0" fontId="0" fillId="0" borderId="13" xfId="0" applyBorder="1" applyAlignment="1" applyProtection="1"/>
    <xf numFmtId="0" fontId="0" fillId="0" borderId="9" xfId="0" applyBorder="1" applyProtection="1">
      <protection hidden="1"/>
    </xf>
    <xf numFmtId="0" fontId="0" fillId="0" borderId="12" xfId="0" applyBorder="1" applyAlignment="1" applyProtection="1">
      <protection hidden="1"/>
    </xf>
    <xf numFmtId="0" fontId="0" fillId="0" borderId="13" xfId="0" applyBorder="1" applyAlignment="1" applyProtection="1">
      <protection hidden="1"/>
    </xf>
    <xf numFmtId="165" fontId="0" fillId="5" borderId="4" xfId="0" applyNumberFormat="1" applyFill="1" applyBorder="1" applyAlignment="1" applyProtection="1">
      <alignment horizontal="right"/>
      <protection locked="0"/>
    </xf>
    <xf numFmtId="1" fontId="0" fillId="0" borderId="4" xfId="0" applyNumberFormat="1" applyBorder="1" applyProtection="1">
      <protection locked="0"/>
    </xf>
    <xf numFmtId="2" fontId="0" fillId="0" borderId="4" xfId="0" applyNumberFormat="1" applyBorder="1" applyProtection="1">
      <protection locked="0"/>
    </xf>
    <xf numFmtId="0" fontId="0" fillId="6" borderId="0" xfId="0" applyFill="1"/>
    <xf numFmtId="0" fontId="0" fillId="6" borderId="0" xfId="0" applyFill="1" applyProtection="1"/>
    <xf numFmtId="0" fontId="3" fillId="7" borderId="11" xfId="0" applyFont="1" applyFill="1" applyBorder="1" applyAlignment="1">
      <alignment horizontal="left" vertical="center" wrapText="1" indent="1"/>
    </xf>
    <xf numFmtId="4" fontId="0" fillId="7" borderId="13" xfId="0" applyNumberFormat="1" applyFill="1" applyBorder="1"/>
    <xf numFmtId="0" fontId="0" fillId="0" borderId="4" xfId="0" applyBorder="1" applyAlignment="1">
      <alignment horizontal="center" vertical="center"/>
    </xf>
    <xf numFmtId="0" fontId="0" fillId="0" borderId="16" xfId="0" applyBorder="1" applyAlignment="1" applyProtection="1">
      <alignment horizontal="left" vertical="center" wrapText="1" indent="2"/>
    </xf>
    <xf numFmtId="0" fontId="0" fillId="0" borderId="18" xfId="0" applyBorder="1" applyAlignment="1" applyProtection="1">
      <alignment horizontal="center" vertical="center"/>
    </xf>
    <xf numFmtId="49" fontId="1" fillId="0" borderId="20" xfId="0" applyNumberFormat="1" applyFont="1" applyBorder="1" applyAlignment="1">
      <alignment horizontal="center" vertical="center"/>
    </xf>
    <xf numFmtId="49" fontId="0" fillId="0" borderId="20" xfId="0" applyNumberFormat="1" applyBorder="1" applyAlignment="1">
      <alignment horizontal="center" vertical="center"/>
    </xf>
    <xf numFmtId="0" fontId="0" fillId="0" borderId="20" xfId="0" applyBorder="1" applyAlignment="1">
      <alignment horizontal="center" vertical="center"/>
    </xf>
    <xf numFmtId="0" fontId="0" fillId="11" borderId="20" xfId="0" applyFill="1" applyBorder="1" applyAlignment="1" applyProtection="1">
      <alignment horizontal="right" vertical="center"/>
      <protection hidden="1"/>
    </xf>
    <xf numFmtId="0" fontId="0" fillId="11" borderId="20" xfId="0" applyFill="1" applyBorder="1" applyProtection="1">
      <protection hidden="1"/>
    </xf>
    <xf numFmtId="49" fontId="0" fillId="0" borderId="21" xfId="0" applyNumberFormat="1" applyBorder="1" applyAlignment="1">
      <alignment horizontal="center" vertical="center"/>
    </xf>
    <xf numFmtId="49" fontId="1" fillId="0" borderId="22" xfId="0" applyNumberFormat="1" applyFont="1" applyBorder="1" applyAlignment="1">
      <alignment horizontal="center" vertical="center"/>
    </xf>
    <xf numFmtId="0" fontId="0" fillId="11" borderId="22" xfId="0" applyFill="1" applyBorder="1" applyAlignment="1" applyProtection="1">
      <alignment horizontal="right" vertical="center"/>
      <protection hidden="1"/>
    </xf>
    <xf numFmtId="0" fontId="0" fillId="0" borderId="21" xfId="0" applyBorder="1" applyAlignment="1">
      <alignment horizontal="center" vertical="center"/>
    </xf>
    <xf numFmtId="0" fontId="0" fillId="11" borderId="21" xfId="0" applyFill="1" applyBorder="1" applyAlignment="1" applyProtection="1">
      <alignment horizontal="right" vertical="center"/>
      <protection hidden="1"/>
    </xf>
    <xf numFmtId="49" fontId="3" fillId="7" borderId="20" xfId="0" applyNumberFormat="1" applyFont="1" applyFill="1" applyBorder="1" applyAlignment="1">
      <alignment horizontal="center" vertical="center"/>
    </xf>
    <xf numFmtId="49" fontId="1" fillId="0" borderId="20" xfId="0" applyNumberFormat="1" applyFont="1" applyBorder="1"/>
    <xf numFmtId="49" fontId="3" fillId="7" borderId="1" xfId="0" applyNumberFormat="1" applyFont="1" applyFill="1" applyBorder="1" applyAlignment="1">
      <alignment horizontal="center" vertical="center"/>
    </xf>
    <xf numFmtId="49" fontId="1" fillId="0" borderId="19" xfId="0" applyNumberFormat="1" applyFont="1" applyBorder="1" applyAlignment="1">
      <alignment horizontal="center" vertical="center"/>
    </xf>
    <xf numFmtId="0" fontId="1" fillId="3" borderId="26" xfId="0" applyFont="1" applyFill="1" applyBorder="1" applyAlignment="1">
      <alignment vertical="center"/>
    </xf>
    <xf numFmtId="2" fontId="0" fillId="0" borderId="0" xfId="2" applyNumberFormat="1" applyFont="1"/>
    <xf numFmtId="2" fontId="1" fillId="3" borderId="26" xfId="2" applyNumberFormat="1" applyFont="1" applyFill="1" applyBorder="1" applyAlignment="1">
      <alignment vertical="center"/>
    </xf>
    <xf numFmtId="2" fontId="1" fillId="3" borderId="12" xfId="2" applyNumberFormat="1" applyFont="1" applyFill="1" applyBorder="1" applyAlignment="1">
      <alignment vertical="center"/>
    </xf>
    <xf numFmtId="0" fontId="8" fillId="2" borderId="11" xfId="1" applyFont="1" applyFill="1" applyBorder="1" applyAlignment="1" applyProtection="1">
      <alignment horizontal="center"/>
    </xf>
    <xf numFmtId="0" fontId="2" fillId="2" borderId="11" xfId="1" applyFill="1" applyBorder="1" applyAlignment="1">
      <alignment horizontal="right" vertical="center"/>
    </xf>
    <xf numFmtId="0" fontId="11" fillId="2" borderId="11" xfId="1" applyFont="1" applyFill="1" applyBorder="1" applyAlignment="1">
      <alignment horizontal="center" vertical="center"/>
    </xf>
    <xf numFmtId="0" fontId="2" fillId="2" borderId="11" xfId="1" applyFill="1" applyBorder="1" applyAlignment="1" applyProtection="1"/>
    <xf numFmtId="165" fontId="0" fillId="2" borderId="4" xfId="0" applyNumberFormat="1" applyFill="1" applyBorder="1" applyAlignment="1" applyProtection="1">
      <alignment horizontal="right"/>
    </xf>
    <xf numFmtId="0" fontId="1" fillId="6" borderId="23" xfId="0" applyFont="1" applyFill="1" applyBorder="1" applyAlignment="1">
      <alignment wrapText="1"/>
    </xf>
    <xf numFmtId="164" fontId="0" fillId="8" borderId="20" xfId="0" applyNumberFormat="1" applyFill="1" applyBorder="1" applyAlignment="1" applyProtection="1">
      <alignment horizontal="right"/>
      <protection locked="0"/>
    </xf>
    <xf numFmtId="164" fontId="0" fillId="11" borderId="20" xfId="0" applyNumberFormat="1" applyFill="1" applyBorder="1" applyProtection="1">
      <protection hidden="1"/>
    </xf>
    <xf numFmtId="165" fontId="0" fillId="11" borderId="20" xfId="0" applyNumberFormat="1" applyFill="1" applyBorder="1" applyProtection="1">
      <protection hidden="1"/>
    </xf>
    <xf numFmtId="164" fontId="0" fillId="11" borderId="21" xfId="0" applyNumberFormat="1" applyFill="1" applyBorder="1" applyProtection="1">
      <protection hidden="1"/>
    </xf>
    <xf numFmtId="165" fontId="0" fillId="11" borderId="21" xfId="0" applyNumberFormat="1" applyFill="1" applyBorder="1" applyProtection="1">
      <protection hidden="1"/>
    </xf>
    <xf numFmtId="165" fontId="0" fillId="9" borderId="4" xfId="0" applyNumberFormat="1" applyFill="1" applyBorder="1" applyProtection="1">
      <protection hidden="1"/>
    </xf>
    <xf numFmtId="165" fontId="0" fillId="11" borderId="4" xfId="0" applyNumberFormat="1" applyFill="1" applyBorder="1" applyProtection="1">
      <protection hidden="1"/>
    </xf>
    <xf numFmtId="165" fontId="0" fillId="11" borderId="22" xfId="0" applyNumberFormat="1" applyFill="1" applyBorder="1" applyProtection="1">
      <protection hidden="1"/>
    </xf>
    <xf numFmtId="2" fontId="0" fillId="4" borderId="4" xfId="0" applyNumberFormat="1" applyFont="1" applyFill="1" applyBorder="1" applyAlignment="1">
      <alignment horizontal="center" vertical="center" wrapText="1"/>
    </xf>
    <xf numFmtId="2" fontId="1" fillId="3" borderId="26" xfId="0" applyNumberFormat="1" applyFont="1" applyFill="1" applyBorder="1" applyAlignment="1">
      <alignment vertical="center"/>
    </xf>
    <xf numFmtId="2" fontId="0" fillId="5" borderId="4" xfId="0" applyNumberFormat="1" applyFill="1" applyBorder="1" applyProtection="1">
      <protection hidden="1"/>
    </xf>
    <xf numFmtId="2" fontId="1" fillId="3" borderId="12" xfId="0" applyNumberFormat="1" applyFont="1" applyFill="1" applyBorder="1" applyAlignment="1">
      <alignment vertical="center"/>
    </xf>
    <xf numFmtId="1" fontId="0" fillId="0" borderId="0" xfId="0" applyNumberFormat="1"/>
    <xf numFmtId="1" fontId="0" fillId="4" borderId="4" xfId="0" applyNumberFormat="1" applyFont="1" applyFill="1" applyBorder="1" applyAlignment="1">
      <alignment horizontal="center" vertical="center" wrapText="1"/>
    </xf>
    <xf numFmtId="1" fontId="1" fillId="3" borderId="26" xfId="0" applyNumberFormat="1" applyFont="1" applyFill="1" applyBorder="1" applyAlignment="1">
      <alignment vertical="center"/>
    </xf>
    <xf numFmtId="1" fontId="1" fillId="3" borderId="12" xfId="0" applyNumberFormat="1" applyFont="1" applyFill="1" applyBorder="1" applyAlignment="1">
      <alignment vertical="center"/>
    </xf>
    <xf numFmtId="43" fontId="0" fillId="0" borderId="4" xfId="2" applyFont="1" applyBorder="1" applyProtection="1">
      <protection locked="0"/>
    </xf>
    <xf numFmtId="0" fontId="0" fillId="6" borderId="20" xfId="0" applyFill="1" applyBorder="1" applyAlignment="1"/>
    <xf numFmtId="165" fontId="0" fillId="11" borderId="20" xfId="0" applyNumberFormat="1" applyFill="1" applyBorder="1" applyAlignment="1">
      <alignment horizontal="right"/>
    </xf>
    <xf numFmtId="1" fontId="0" fillId="5" borderId="20" xfId="0" applyNumberFormat="1" applyFill="1" applyBorder="1" applyAlignment="1" applyProtection="1">
      <alignment horizontal="right"/>
      <protection hidden="1"/>
    </xf>
    <xf numFmtId="2" fontId="1" fillId="5" borderId="20" xfId="0" applyNumberFormat="1" applyFont="1" applyFill="1" applyBorder="1" applyAlignment="1" applyProtection="1">
      <alignment horizontal="right"/>
      <protection hidden="1"/>
    </xf>
    <xf numFmtId="1" fontId="1" fillId="5" borderId="20" xfId="0" applyNumberFormat="1" applyFont="1" applyFill="1" applyBorder="1" applyAlignment="1" applyProtection="1">
      <alignment horizontal="right"/>
      <protection hidden="1"/>
    </xf>
    <xf numFmtId="165" fontId="0" fillId="9" borderId="20" xfId="0" applyNumberFormat="1" applyFill="1" applyBorder="1" applyAlignment="1">
      <alignment horizontal="right"/>
    </xf>
    <xf numFmtId="2" fontId="0" fillId="5" borderId="20" xfId="0" applyNumberFormat="1" applyFill="1" applyBorder="1" applyAlignment="1" applyProtection="1">
      <alignment horizontal="right"/>
      <protection hidden="1"/>
    </xf>
    <xf numFmtId="43" fontId="0" fillId="12" borderId="20" xfId="2" applyFont="1" applyFill="1" applyBorder="1" applyAlignment="1" applyProtection="1">
      <alignment horizontal="right"/>
      <protection hidden="1"/>
    </xf>
    <xf numFmtId="0" fontId="0" fillId="0" borderId="22" xfId="0" applyBorder="1"/>
    <xf numFmtId="0" fontId="0" fillId="11" borderId="4" xfId="0" applyFill="1" applyBorder="1" applyProtection="1">
      <protection hidden="1"/>
    </xf>
    <xf numFmtId="2" fontId="0" fillId="11" borderId="4" xfId="0" applyNumberFormat="1" applyFill="1" applyBorder="1" applyProtection="1">
      <protection hidden="1"/>
    </xf>
    <xf numFmtId="1" fontId="0" fillId="11" borderId="4" xfId="0" applyNumberFormat="1" applyFill="1" applyBorder="1" applyProtection="1">
      <protection hidden="1"/>
    </xf>
    <xf numFmtId="165" fontId="0" fillId="9" borderId="4" xfId="0" applyNumberFormat="1" applyFill="1" applyBorder="1"/>
    <xf numFmtId="49" fontId="1" fillId="0" borderId="5" xfId="0" applyNumberFormat="1" applyFont="1" applyBorder="1" applyAlignment="1">
      <alignment horizontal="center" vertical="center"/>
    </xf>
    <xf numFmtId="0" fontId="1" fillId="3" borderId="32" xfId="0" applyFont="1" applyFill="1" applyBorder="1" applyAlignment="1">
      <alignment vertical="center"/>
    </xf>
    <xf numFmtId="2" fontId="1" fillId="3" borderId="32" xfId="2" applyNumberFormat="1" applyFont="1" applyFill="1" applyBorder="1" applyAlignment="1">
      <alignment vertical="center"/>
    </xf>
    <xf numFmtId="2" fontId="1" fillId="3" borderId="32" xfId="0" applyNumberFormat="1" applyFont="1" applyFill="1" applyBorder="1" applyAlignment="1">
      <alignment vertical="center"/>
    </xf>
    <xf numFmtId="0" fontId="1" fillId="3" borderId="31" xfId="0" applyFont="1" applyFill="1" applyBorder="1" applyAlignment="1">
      <alignment vertical="center"/>
    </xf>
    <xf numFmtId="0" fontId="0" fillId="6" borderId="21" xfId="0" applyFill="1" applyBorder="1" applyAlignment="1"/>
    <xf numFmtId="0" fontId="1" fillId="6" borderId="30" xfId="0" applyFont="1" applyFill="1" applyBorder="1" applyAlignment="1">
      <alignment wrapText="1"/>
    </xf>
    <xf numFmtId="0" fontId="0" fillId="5" borderId="4" xfId="0" applyFill="1" applyBorder="1" applyAlignment="1" applyProtection="1">
      <protection hidden="1"/>
    </xf>
    <xf numFmtId="2" fontId="0" fillId="5" borderId="4" xfId="0" applyNumberFormat="1" applyFill="1" applyBorder="1" applyAlignment="1" applyProtection="1">
      <protection hidden="1"/>
    </xf>
    <xf numFmtId="165" fontId="0" fillId="9" borderId="4" xfId="0" applyNumberFormat="1" applyFill="1" applyBorder="1" applyAlignment="1"/>
    <xf numFmtId="0" fontId="2" fillId="2" borderId="11" xfId="1" applyFill="1" applyBorder="1" applyAlignment="1">
      <alignment horizontal="right"/>
    </xf>
    <xf numFmtId="165" fontId="0" fillId="11" borderId="20" xfId="2" applyNumberFormat="1" applyFont="1" applyFill="1" applyBorder="1" applyProtection="1">
      <protection hidden="1"/>
    </xf>
    <xf numFmtId="165" fontId="0" fillId="11" borderId="22" xfId="2" applyNumberFormat="1" applyFont="1" applyFill="1" applyBorder="1" applyProtection="1">
      <protection hidden="1"/>
    </xf>
    <xf numFmtId="165" fontId="0" fillId="9" borderId="4" xfId="2" applyNumberFormat="1" applyFont="1" applyFill="1" applyBorder="1" applyProtection="1">
      <protection hidden="1"/>
    </xf>
    <xf numFmtId="165" fontId="0" fillId="9" borderId="4" xfId="2" applyNumberFormat="1" applyFont="1" applyFill="1" applyBorder="1"/>
    <xf numFmtId="165" fontId="0" fillId="9" borderId="4" xfId="2" applyNumberFormat="1" applyFont="1" applyFill="1" applyBorder="1" applyAlignment="1"/>
    <xf numFmtId="165" fontId="0" fillId="12" borderId="20" xfId="2" applyNumberFormat="1" applyFont="1" applyFill="1" applyBorder="1" applyAlignment="1" applyProtection="1">
      <alignment horizontal="right"/>
      <protection hidden="1"/>
    </xf>
    <xf numFmtId="165" fontId="0" fillId="9" borderId="20" xfId="2" applyNumberFormat="1" applyFont="1" applyFill="1" applyBorder="1" applyAlignment="1">
      <alignment horizontal="right"/>
    </xf>
    <xf numFmtId="165" fontId="0" fillId="11" borderId="20" xfId="2" applyNumberFormat="1" applyFont="1" applyFill="1" applyBorder="1" applyAlignment="1" applyProtection="1">
      <alignment horizontal="right"/>
      <protection hidden="1"/>
    </xf>
    <xf numFmtId="165" fontId="0" fillId="9" borderId="4" xfId="2" applyNumberFormat="1" applyFont="1" applyFill="1" applyBorder="1" applyAlignment="1" applyProtection="1">
      <alignment horizontal="right"/>
      <protection hidden="1"/>
    </xf>
    <xf numFmtId="165" fontId="0" fillId="11" borderId="20" xfId="2" applyNumberFormat="1" applyFont="1" applyFill="1" applyBorder="1" applyAlignment="1" applyProtection="1">
      <alignment horizontal="right" vertical="center"/>
      <protection hidden="1"/>
    </xf>
    <xf numFmtId="165" fontId="0" fillId="5" borderId="4" xfId="2" applyNumberFormat="1" applyFont="1" applyFill="1" applyBorder="1" applyProtection="1">
      <protection hidden="1"/>
    </xf>
    <xf numFmtId="165" fontId="0" fillId="11" borderId="4" xfId="2" applyNumberFormat="1" applyFont="1" applyFill="1" applyBorder="1" applyAlignment="1" applyProtection="1">
      <alignment horizontal="right" vertical="center"/>
      <protection hidden="1"/>
    </xf>
    <xf numFmtId="165" fontId="0" fillId="11" borderId="22" xfId="2" applyNumberFormat="1" applyFont="1" applyFill="1" applyBorder="1" applyAlignment="1" applyProtection="1">
      <alignment horizontal="right" vertical="center"/>
      <protection hidden="1"/>
    </xf>
    <xf numFmtId="165" fontId="0" fillId="11" borderId="20" xfId="0" applyNumberFormat="1" applyFill="1" applyBorder="1" applyAlignment="1" applyProtection="1">
      <alignment horizontal="right"/>
      <protection hidden="1"/>
    </xf>
    <xf numFmtId="165" fontId="0" fillId="11" borderId="4" xfId="0" applyNumberFormat="1" applyFill="1" applyBorder="1" applyAlignment="1" applyProtection="1">
      <alignment horizontal="right"/>
      <protection hidden="1"/>
    </xf>
    <xf numFmtId="165" fontId="0" fillId="11" borderId="4" xfId="0" applyNumberFormat="1" applyFill="1" applyBorder="1" applyAlignment="1" applyProtection="1">
      <alignment horizontal="right" vertical="center"/>
      <protection hidden="1"/>
    </xf>
    <xf numFmtId="165" fontId="0" fillId="5" borderId="4" xfId="0" applyNumberFormat="1" applyFill="1" applyBorder="1" applyProtection="1">
      <protection hidden="1"/>
    </xf>
    <xf numFmtId="2" fontId="0" fillId="11" borderId="20" xfId="2" applyNumberFormat="1" applyFont="1" applyFill="1" applyBorder="1" applyProtection="1">
      <protection hidden="1"/>
    </xf>
    <xf numFmtId="1" fontId="0" fillId="11" borderId="22" xfId="0" applyNumberFormat="1" applyFill="1" applyBorder="1" applyAlignment="1" applyProtection="1">
      <alignment horizontal="right" vertical="center"/>
      <protection hidden="1"/>
    </xf>
    <xf numFmtId="1" fontId="0" fillId="11" borderId="20" xfId="0" applyNumberFormat="1" applyFill="1" applyBorder="1" applyAlignment="1" applyProtection="1">
      <alignment horizontal="right" vertical="center"/>
      <protection hidden="1"/>
    </xf>
    <xf numFmtId="1" fontId="0" fillId="5" borderId="4" xfId="0" applyNumberFormat="1" applyFill="1" applyBorder="1" applyAlignment="1" applyProtection="1">
      <alignment horizontal="right"/>
      <protection hidden="1"/>
    </xf>
    <xf numFmtId="1" fontId="0" fillId="5" borderId="4" xfId="0" applyNumberFormat="1" applyFill="1" applyBorder="1" applyAlignment="1" applyProtection="1">
      <protection hidden="1"/>
    </xf>
    <xf numFmtId="0" fontId="0" fillId="0" borderId="4" xfId="0" applyBorder="1" applyAlignment="1" applyProtection="1">
      <alignment horizontal="center"/>
    </xf>
    <xf numFmtId="0" fontId="0" fillId="0" borderId="11" xfId="0" applyBorder="1" applyAlignment="1" applyProtection="1">
      <alignment horizontal="center"/>
    </xf>
    <xf numFmtId="0" fontId="0" fillId="6" borderId="17" xfId="0" applyFill="1" applyBorder="1" applyAlignment="1">
      <alignment horizontal="center"/>
    </xf>
    <xf numFmtId="0" fontId="0" fillId="0" borderId="13" xfId="0" applyBorder="1"/>
    <xf numFmtId="165" fontId="0" fillId="6" borderId="12" xfId="0" applyNumberFormat="1" applyFill="1" applyBorder="1" applyAlignment="1" applyProtection="1">
      <alignment horizontal="right"/>
    </xf>
    <xf numFmtId="0" fontId="0" fillId="6" borderId="12" xfId="0" applyFill="1" applyBorder="1" applyAlignment="1" applyProtection="1">
      <alignment horizontal="center"/>
    </xf>
    <xf numFmtId="0" fontId="0" fillId="6" borderId="13" xfId="0" applyFill="1" applyBorder="1" applyAlignment="1" applyProtection="1">
      <alignment horizontal="center"/>
    </xf>
    <xf numFmtId="0" fontId="0" fillId="8" borderId="0" xfId="0" applyFill="1" applyProtection="1"/>
    <xf numFmtId="0" fontId="0" fillId="0" borderId="13" xfId="0" applyBorder="1" applyProtection="1"/>
    <xf numFmtId="0" fontId="0" fillId="0" borderId="11" xfId="0" applyBorder="1" applyProtection="1"/>
    <xf numFmtId="0" fontId="0" fillId="0" borderId="12" xfId="0" applyBorder="1" applyProtection="1"/>
    <xf numFmtId="0" fontId="0" fillId="0" borderId="0" xfId="0" applyBorder="1" applyProtection="1"/>
    <xf numFmtId="165" fontId="0" fillId="8" borderId="4" xfId="0" applyNumberFormat="1" applyFill="1" applyBorder="1" applyAlignment="1" applyProtection="1">
      <alignment horizontal="right"/>
      <protection locked="0"/>
    </xf>
    <xf numFmtId="0" fontId="0" fillId="8" borderId="14" xfId="0" applyFill="1" applyBorder="1" applyAlignment="1" applyProtection="1">
      <alignment horizontal="center" vertical="center"/>
      <protection locked="0"/>
    </xf>
    <xf numFmtId="0" fontId="0" fillId="8" borderId="15" xfId="0" applyFill="1" applyBorder="1" applyAlignment="1" applyProtection="1">
      <alignment horizontal="center" vertical="center"/>
      <protection locked="0"/>
    </xf>
    <xf numFmtId="0" fontId="3" fillId="7" borderId="12" xfId="0" applyFont="1" applyFill="1" applyBorder="1" applyAlignment="1">
      <alignment horizontal="left" vertical="center" wrapText="1" indent="1"/>
    </xf>
    <xf numFmtId="1" fontId="0" fillId="11" borderId="20" xfId="2" applyNumberFormat="1" applyFont="1" applyFill="1" applyBorder="1" applyProtection="1">
      <protection hidden="1"/>
    </xf>
    <xf numFmtId="164" fontId="0" fillId="0" borderId="1" xfId="0" applyNumberFormat="1" applyBorder="1" applyAlignment="1" applyProtection="1">
      <alignment horizontal="right"/>
      <protection locked="0"/>
    </xf>
    <xf numFmtId="0" fontId="0" fillId="0" borderId="10" xfId="0" applyBorder="1"/>
    <xf numFmtId="0" fontId="2" fillId="2" borderId="12" xfId="1" applyFill="1" applyBorder="1" applyAlignment="1">
      <alignment horizontal="right" vertical="center" indent="1"/>
    </xf>
    <xf numFmtId="165" fontId="0" fillId="11" borderId="21" xfId="2" applyNumberFormat="1" applyFont="1" applyFill="1" applyBorder="1" applyProtection="1">
      <protection hidden="1"/>
    </xf>
    <xf numFmtId="164" fontId="0" fillId="11" borderId="20" xfId="0" applyNumberFormat="1" applyFill="1" applyBorder="1" applyAlignment="1" applyProtection="1">
      <alignment horizontal="right" vertical="center"/>
      <protection hidden="1"/>
    </xf>
    <xf numFmtId="165" fontId="0" fillId="11" borderId="20" xfId="2" applyNumberFormat="1" applyFont="1" applyFill="1" applyBorder="1"/>
    <xf numFmtId="165" fontId="0" fillId="11" borderId="20" xfId="0" applyNumberFormat="1" applyFill="1" applyBorder="1"/>
    <xf numFmtId="1" fontId="0" fillId="11" borderId="21" xfId="0" applyNumberFormat="1" applyFill="1" applyBorder="1" applyAlignment="1" applyProtection="1">
      <alignment horizontal="right" vertical="center"/>
      <protection hidden="1"/>
    </xf>
    <xf numFmtId="165" fontId="0" fillId="11" borderId="21" xfId="2" applyNumberFormat="1" applyFont="1" applyFill="1" applyBorder="1" applyAlignment="1" applyProtection="1">
      <alignment horizontal="right" vertical="center"/>
      <protection hidden="1"/>
    </xf>
    <xf numFmtId="165" fontId="0" fillId="11" borderId="21" xfId="0" applyNumberFormat="1" applyFill="1" applyBorder="1"/>
    <xf numFmtId="1" fontId="0" fillId="11" borderId="5" xfId="0" applyNumberFormat="1" applyFill="1" applyBorder="1" applyAlignment="1" applyProtection="1">
      <alignment horizontal="right"/>
      <protection hidden="1"/>
    </xf>
    <xf numFmtId="165" fontId="0" fillId="11" borderId="5" xfId="2" applyNumberFormat="1" applyFont="1" applyFill="1" applyBorder="1" applyAlignment="1"/>
    <xf numFmtId="0" fontId="0" fillId="11" borderId="5" xfId="0" applyFill="1" applyBorder="1" applyAlignment="1" applyProtection="1">
      <alignment horizontal="right" vertical="center"/>
      <protection hidden="1"/>
    </xf>
    <xf numFmtId="165" fontId="0" fillId="11" borderId="5" xfId="0" applyNumberFormat="1" applyFill="1" applyBorder="1"/>
    <xf numFmtId="1" fontId="0" fillId="11" borderId="20" xfId="0" applyNumberFormat="1" applyFill="1" applyBorder="1" applyAlignment="1" applyProtection="1">
      <alignment horizontal="right"/>
      <protection hidden="1"/>
    </xf>
    <xf numFmtId="165" fontId="0" fillId="11" borderId="20" xfId="2" applyNumberFormat="1" applyFont="1" applyFill="1" applyBorder="1" applyAlignment="1"/>
    <xf numFmtId="0" fontId="0" fillId="11" borderId="20" xfId="0" applyFill="1" applyBorder="1" applyAlignment="1" applyProtection="1">
      <alignment horizontal="right"/>
      <protection hidden="1"/>
    </xf>
    <xf numFmtId="165" fontId="0" fillId="11" borderId="20" xfId="0" applyNumberFormat="1" applyFill="1" applyBorder="1" applyAlignment="1"/>
    <xf numFmtId="1" fontId="0" fillId="11" borderId="21" xfId="0" applyNumberFormat="1" applyFill="1" applyBorder="1" applyAlignment="1" applyProtection="1">
      <alignment horizontal="right"/>
      <protection hidden="1"/>
    </xf>
    <xf numFmtId="165" fontId="0" fillId="11" borderId="21" xfId="2" applyNumberFormat="1" applyFont="1" applyFill="1" applyBorder="1" applyAlignment="1"/>
    <xf numFmtId="165" fontId="0" fillId="11" borderId="21" xfId="2" applyNumberFormat="1" applyFont="1" applyFill="1" applyBorder="1" applyAlignment="1" applyProtection="1">
      <alignment horizontal="right"/>
      <protection hidden="1"/>
    </xf>
    <xf numFmtId="165" fontId="0" fillId="11" borderId="21" xfId="0" applyNumberFormat="1" applyFill="1" applyBorder="1" applyAlignment="1"/>
    <xf numFmtId="165" fontId="0" fillId="11" borderId="21" xfId="0" applyNumberFormat="1" applyFill="1" applyBorder="1" applyAlignment="1" applyProtection="1">
      <alignment horizontal="right"/>
      <protection hidden="1"/>
    </xf>
    <xf numFmtId="165" fontId="0" fillId="11" borderId="20" xfId="2" applyNumberFormat="1" applyFont="1" applyFill="1" applyBorder="1" applyAlignment="1">
      <alignment horizontal="right"/>
    </xf>
    <xf numFmtId="165" fontId="0" fillId="5" borderId="4" xfId="0" applyNumberFormat="1" applyFill="1" applyBorder="1" applyAlignment="1" applyProtection="1">
      <alignment horizontal="right"/>
      <protection hidden="1"/>
    </xf>
    <xf numFmtId="165" fontId="0" fillId="9" borderId="4" xfId="0" applyNumberFormat="1" applyFill="1" applyBorder="1" applyAlignment="1" applyProtection="1">
      <alignment horizontal="right"/>
      <protection hidden="1"/>
    </xf>
    <xf numFmtId="164" fontId="0" fillId="9" borderId="4" xfId="0" applyNumberFormat="1" applyFill="1" applyBorder="1" applyAlignment="1" applyProtection="1">
      <alignment horizontal="right"/>
      <protection hidden="1"/>
    </xf>
    <xf numFmtId="164" fontId="0" fillId="5" borderId="4" xfId="0" applyNumberFormat="1" applyFill="1" applyBorder="1" applyAlignment="1" applyProtection="1">
      <alignment horizontal="right"/>
      <protection hidden="1"/>
    </xf>
    <xf numFmtId="0" fontId="2" fillId="0" borderId="25" xfId="1" applyBorder="1" applyAlignment="1">
      <alignment vertical="center"/>
    </xf>
    <xf numFmtId="0" fontId="2" fillId="3" borderId="13" xfId="1" applyFill="1" applyBorder="1" applyAlignment="1">
      <alignment horizontal="left" vertical="center" wrapText="1" indent="1"/>
    </xf>
    <xf numFmtId="0" fontId="1" fillId="3" borderId="2" xfId="0" applyFont="1" applyFill="1" applyBorder="1" applyAlignment="1">
      <alignment vertical="center"/>
    </xf>
    <xf numFmtId="0" fontId="2" fillId="0" borderId="37" xfId="1" applyBorder="1" applyAlignment="1">
      <alignment horizontal="left" vertical="center" indent="1"/>
    </xf>
    <xf numFmtId="0" fontId="2" fillId="0" borderId="38" xfId="1" applyBorder="1" applyAlignment="1">
      <alignment horizontal="left" vertical="center" indent="1"/>
    </xf>
    <xf numFmtId="0" fontId="2" fillId="0" borderId="39" xfId="1" applyBorder="1" applyAlignment="1">
      <alignment horizontal="left" vertical="center" indent="1"/>
    </xf>
    <xf numFmtId="0" fontId="2" fillId="0" borderId="0" xfId="1" applyAlignment="1">
      <alignment horizontal="left" vertical="center" wrapText="1" indent="1"/>
    </xf>
    <xf numFmtId="0" fontId="2" fillId="0" borderId="0" xfId="1" applyAlignment="1">
      <alignment horizontal="left" vertical="center" indent="1"/>
    </xf>
    <xf numFmtId="0" fontId="1" fillId="3" borderId="6" xfId="0" applyFont="1" applyFill="1" applyBorder="1" applyAlignment="1">
      <alignment vertical="center"/>
    </xf>
    <xf numFmtId="0" fontId="2" fillId="0" borderId="40" xfId="1" applyBorder="1" applyAlignment="1">
      <alignment horizontal="left" vertical="center" wrapText="1" indent="1"/>
    </xf>
    <xf numFmtId="0" fontId="2" fillId="0" borderId="41" xfId="1" applyBorder="1" applyAlignment="1">
      <alignment horizontal="left" wrapText="1" indent="1"/>
    </xf>
    <xf numFmtId="0" fontId="2" fillId="0" borderId="41" xfId="1" applyBorder="1" applyAlignment="1">
      <alignment horizontal="left" vertical="center" indent="1"/>
    </xf>
    <xf numFmtId="0" fontId="2" fillId="0" borderId="41" xfId="1" applyBorder="1" applyAlignment="1">
      <alignment horizontal="left" vertical="center" wrapText="1" indent="1"/>
    </xf>
    <xf numFmtId="0" fontId="2" fillId="0" borderId="42" xfId="1" applyBorder="1" applyAlignment="1">
      <alignment horizontal="left" vertical="center" indent="1"/>
    </xf>
    <xf numFmtId="0" fontId="2" fillId="0" borderId="40" xfId="1" applyBorder="1" applyAlignment="1">
      <alignment horizontal="left" vertical="center" indent="1"/>
    </xf>
    <xf numFmtId="0" fontId="2" fillId="3" borderId="0" xfId="1" applyFill="1" applyAlignment="1">
      <alignment horizontal="left" vertical="center" wrapText="1" indent="1"/>
    </xf>
    <xf numFmtId="0" fontId="0" fillId="0" borderId="43" xfId="0" applyBorder="1"/>
    <xf numFmtId="0" fontId="2" fillId="0" borderId="43" xfId="1" applyBorder="1" applyAlignment="1">
      <alignment horizontal="left" vertical="center" indent="1"/>
    </xf>
    <xf numFmtId="0" fontId="0" fillId="13" borderId="0" xfId="0" applyFill="1" applyProtection="1"/>
    <xf numFmtId="0" fontId="0" fillId="8" borderId="0" xfId="0" applyFill="1" applyProtection="1">
      <protection locked="0"/>
    </xf>
    <xf numFmtId="165" fontId="0" fillId="11" borderId="21" xfId="2" applyNumberFormat="1" applyFont="1" applyFill="1" applyBorder="1"/>
    <xf numFmtId="0" fontId="0" fillId="0" borderId="4" xfId="0" applyBorder="1" applyAlignment="1" applyProtection="1">
      <alignment wrapText="1"/>
      <protection locked="0"/>
    </xf>
    <xf numFmtId="0" fontId="2" fillId="0" borderId="13" xfId="1" applyBorder="1" applyAlignment="1">
      <alignment horizontal="right" vertical="center"/>
    </xf>
    <xf numFmtId="165" fontId="0" fillId="11" borderId="22" xfId="0" applyNumberFormat="1" applyFill="1" applyBorder="1" applyAlignment="1" applyProtection="1">
      <alignment horizontal="right"/>
      <protection hidden="1"/>
    </xf>
    <xf numFmtId="0" fontId="1" fillId="4" borderId="35" xfId="0" applyFont="1" applyFill="1" applyBorder="1" applyAlignment="1">
      <alignment vertical="center"/>
    </xf>
    <xf numFmtId="0" fontId="1" fillId="0" borderId="12" xfId="0" applyFont="1" applyBorder="1" applyAlignment="1">
      <alignment vertical="center"/>
    </xf>
    <xf numFmtId="0" fontId="1" fillId="0" borderId="12" xfId="0" applyFont="1" applyBorder="1" applyAlignment="1">
      <alignment horizontal="left" vertical="center"/>
    </xf>
    <xf numFmtId="0" fontId="12" fillId="0" borderId="0" xfId="3" applyAlignment="1" applyProtection="1"/>
    <xf numFmtId="49" fontId="15" fillId="15" borderId="4" xfId="4" applyNumberFormat="1" applyFont="1" applyFill="1" applyBorder="1" applyAlignment="1">
      <alignment horizontal="center" vertical="center" wrapText="1"/>
    </xf>
    <xf numFmtId="0" fontId="19" fillId="16" borderId="0" xfId="4" applyFont="1" applyFill="1" applyBorder="1" applyAlignment="1">
      <alignment vertical="center" wrapText="1"/>
    </xf>
    <xf numFmtId="0" fontId="12" fillId="16" borderId="0" xfId="3" applyFill="1" applyBorder="1" applyAlignment="1" applyProtection="1">
      <alignment vertical="center" wrapText="1"/>
    </xf>
    <xf numFmtId="0" fontId="18" fillId="16" borderId="4" xfId="5" applyFont="1" applyFill="1" applyBorder="1" applyAlignment="1">
      <alignment horizontal="center" vertical="center" wrapText="1"/>
    </xf>
    <xf numFmtId="0" fontId="18" fillId="16" borderId="0" xfId="5" applyFont="1" applyFill="1" applyBorder="1" applyAlignment="1">
      <alignment horizontal="justify" vertical="center" wrapText="1"/>
    </xf>
    <xf numFmtId="0" fontId="12" fillId="16" borderId="0" xfId="3" applyFill="1" applyBorder="1" applyAlignment="1" applyProtection="1">
      <alignment horizontal="justify" vertical="center" wrapText="1"/>
    </xf>
    <xf numFmtId="0" fontId="2" fillId="16" borderId="13" xfId="1" applyFill="1" applyBorder="1" applyAlignment="1" applyProtection="1">
      <alignment vertical="center" wrapText="1"/>
    </xf>
    <xf numFmtId="164" fontId="0" fillId="0" borderId="4" xfId="0" applyNumberFormat="1" applyBorder="1" applyAlignment="1" applyProtection="1">
      <alignment horizontal="right"/>
      <protection hidden="1"/>
    </xf>
    <xf numFmtId="164" fontId="0" fillId="0" borderId="4" xfId="0" applyNumberFormat="1" applyBorder="1" applyAlignment="1" applyProtection="1">
      <alignment horizontal="right"/>
    </xf>
    <xf numFmtId="165" fontId="0" fillId="6" borderId="4" xfId="0" applyNumberFormat="1" applyFill="1" applyBorder="1" applyAlignment="1" applyProtection="1">
      <alignment horizontal="right"/>
      <protection locked="0"/>
    </xf>
    <xf numFmtId="164" fontId="0" fillId="6" borderId="4" xfId="0" applyNumberFormat="1" applyFill="1" applyBorder="1" applyAlignment="1" applyProtection="1">
      <alignment horizontal="right"/>
      <protection locked="0"/>
    </xf>
    <xf numFmtId="0" fontId="3" fillId="7" borderId="11" xfId="0" applyFont="1" applyFill="1" applyBorder="1" applyAlignment="1">
      <alignment vertical="center" wrapText="1"/>
    </xf>
    <xf numFmtId="0" fontId="5" fillId="6" borderId="0" xfId="0" applyFont="1" applyFill="1" applyBorder="1" applyAlignment="1" applyProtection="1">
      <alignment horizontal="center" vertical="center"/>
    </xf>
    <xf numFmtId="0" fontId="0" fillId="0" borderId="15" xfId="0" applyFont="1" applyBorder="1" applyAlignment="1" applyProtection="1">
      <alignment horizontal="left" vertical="center" indent="2"/>
    </xf>
    <xf numFmtId="164" fontId="0" fillId="0" borderId="4" xfId="0" applyNumberFormat="1" applyBorder="1" applyAlignment="1" applyProtection="1">
      <alignment horizontal="center" vertical="center"/>
    </xf>
    <xf numFmtId="164" fontId="0" fillId="6" borderId="4" xfId="0" applyNumberFormat="1" applyFill="1" applyBorder="1" applyAlignment="1" applyProtection="1">
      <alignment horizontal="center" vertical="center"/>
    </xf>
    <xf numFmtId="164" fontId="0" fillId="8" borderId="4" xfId="0" applyNumberFormat="1" applyFill="1" applyBorder="1" applyAlignment="1" applyProtection="1">
      <alignment horizontal="center" vertical="center"/>
    </xf>
    <xf numFmtId="165" fontId="0" fillId="11" borderId="4" xfId="0" applyNumberFormat="1" applyFill="1" applyBorder="1" applyAlignment="1" applyProtection="1">
      <alignment horizontal="right"/>
    </xf>
    <xf numFmtId="165" fontId="1" fillId="5" borderId="4" xfId="0" applyNumberFormat="1" applyFont="1" applyFill="1" applyBorder="1" applyProtection="1">
      <protection hidden="1"/>
    </xf>
    <xf numFmtId="2" fontId="0" fillId="5" borderId="4" xfId="2" applyNumberFormat="1" applyFont="1" applyFill="1" applyBorder="1" applyProtection="1">
      <protection hidden="1"/>
    </xf>
    <xf numFmtId="2" fontId="0" fillId="11" borderId="20" xfId="2" applyNumberFormat="1" applyFont="1" applyFill="1" applyBorder="1" applyProtection="1">
      <protection locked="0"/>
    </xf>
    <xf numFmtId="0" fontId="0" fillId="13" borderId="4" xfId="0" applyFill="1" applyBorder="1" applyAlignment="1" applyProtection="1">
      <alignment horizontal="left"/>
    </xf>
    <xf numFmtId="0" fontId="23" fillId="0" borderId="0" xfId="0" applyFont="1" applyAlignment="1">
      <alignment horizontal="right"/>
    </xf>
    <xf numFmtId="0" fontId="23" fillId="0" borderId="0" xfId="0" applyFont="1"/>
    <xf numFmtId="165" fontId="0" fillId="9" borderId="20" xfId="2" applyNumberFormat="1" applyFont="1" applyFill="1" applyBorder="1" applyAlignment="1" applyProtection="1">
      <alignment horizontal="right"/>
      <protection hidden="1"/>
    </xf>
    <xf numFmtId="43" fontId="0" fillId="9" borderId="20" xfId="2" applyFont="1" applyFill="1" applyBorder="1" applyAlignment="1" applyProtection="1">
      <alignment horizontal="right"/>
      <protection hidden="1"/>
    </xf>
    <xf numFmtId="164" fontId="1" fillId="9" borderId="4" xfId="0" applyNumberFormat="1" applyFont="1" applyFill="1" applyBorder="1" applyProtection="1">
      <protection hidden="1"/>
    </xf>
    <xf numFmtId="49" fontId="0" fillId="8" borderId="15" xfId="0" applyNumberFormat="1" applyFill="1" applyBorder="1" applyAlignment="1" applyProtection="1">
      <alignment horizontal="center" vertical="center"/>
      <protection locked="0"/>
    </xf>
    <xf numFmtId="1" fontId="0" fillId="8" borderId="20" xfId="0" applyNumberFormat="1" applyFill="1" applyBorder="1" applyAlignment="1" applyProtection="1">
      <alignment horizontal="right"/>
      <protection locked="0"/>
    </xf>
    <xf numFmtId="0" fontId="24" fillId="0" borderId="11" xfId="0" applyFont="1" applyBorder="1" applyAlignment="1"/>
    <xf numFmtId="0" fontId="24" fillId="0" borderId="12" xfId="0" applyFont="1" applyBorder="1" applyAlignment="1"/>
    <xf numFmtId="0" fontId="24" fillId="0" borderId="13" xfId="0" applyFont="1" applyBorder="1" applyAlignment="1"/>
    <xf numFmtId="0" fontId="24" fillId="0" borderId="0" xfId="0" applyFont="1"/>
    <xf numFmtId="0" fontId="25" fillId="7" borderId="12" xfId="0" applyFont="1" applyFill="1" applyBorder="1" applyAlignment="1">
      <alignment vertical="center" wrapText="1"/>
    </xf>
    <xf numFmtId="0" fontId="25" fillId="7" borderId="13" xfId="0" applyFont="1" applyFill="1" applyBorder="1" applyAlignment="1">
      <alignment vertical="center" wrapText="1"/>
    </xf>
    <xf numFmtId="0" fontId="0" fillId="0" borderId="4" xfId="0" applyFont="1" applyBorder="1" applyProtection="1">
      <protection locked="0"/>
    </xf>
    <xf numFmtId="0" fontId="0" fillId="0" borderId="4" xfId="0" applyFont="1" applyBorder="1" applyAlignment="1" applyProtection="1">
      <alignment horizontal="right"/>
      <protection locked="0"/>
    </xf>
    <xf numFmtId="164" fontId="0" fillId="0" borderId="4" xfId="0" applyNumberFormat="1" applyFont="1" applyBorder="1" applyAlignment="1" applyProtection="1">
      <alignment horizontal="right"/>
      <protection locked="0"/>
    </xf>
    <xf numFmtId="164" fontId="0" fillId="8" borderId="4" xfId="0" applyNumberFormat="1" applyFont="1" applyFill="1" applyBorder="1" applyAlignment="1" applyProtection="1">
      <alignment horizontal="right"/>
      <protection locked="0"/>
    </xf>
    <xf numFmtId="0" fontId="0" fillId="0" borderId="0" xfId="0" applyFont="1" applyAlignment="1">
      <alignment horizontal="right"/>
    </xf>
    <xf numFmtId="0" fontId="0" fillId="0" borderId="4" xfId="0" applyFont="1" applyBorder="1" applyAlignment="1" applyProtection="1">
      <alignment horizontal="center"/>
    </xf>
    <xf numFmtId="164" fontId="0" fillId="9" borderId="4" xfId="0" applyNumberFormat="1" applyFont="1" applyFill="1" applyBorder="1" applyAlignment="1" applyProtection="1">
      <alignment horizontal="right"/>
    </xf>
    <xf numFmtId="165" fontId="0" fillId="5" borderId="4" xfId="0" applyNumberFormat="1" applyFont="1" applyFill="1" applyBorder="1" applyAlignment="1" applyProtection="1">
      <alignment horizontal="right"/>
    </xf>
    <xf numFmtId="165" fontId="0" fillId="6" borderId="4" xfId="0" applyNumberFormat="1" applyFont="1" applyFill="1" applyBorder="1" applyAlignment="1" applyProtection="1">
      <alignment horizontal="right"/>
      <protection locked="0"/>
    </xf>
    <xf numFmtId="165" fontId="0" fillId="8" borderId="4" xfId="0" applyNumberFormat="1" applyFont="1" applyFill="1" applyBorder="1" applyAlignment="1" applyProtection="1">
      <alignment horizontal="right"/>
      <protection locked="0"/>
    </xf>
    <xf numFmtId="165" fontId="0" fillId="9" borderId="4" xfId="0" applyNumberFormat="1" applyFont="1" applyFill="1" applyBorder="1" applyAlignment="1" applyProtection="1">
      <alignment horizontal="right"/>
    </xf>
    <xf numFmtId="164" fontId="0" fillId="5" borderId="4" xfId="0" applyNumberFormat="1" applyFont="1" applyFill="1" applyBorder="1" applyAlignment="1" applyProtection="1">
      <alignment horizontal="right"/>
    </xf>
    <xf numFmtId="164" fontId="0" fillId="0" borderId="4" xfId="0" applyNumberFormat="1" applyFont="1" applyBorder="1" applyAlignment="1" applyProtection="1">
      <alignment horizontal="center" vertical="center"/>
    </xf>
    <xf numFmtId="43" fontId="0" fillId="12" borderId="1" xfId="2" applyFont="1" applyFill="1" applyBorder="1" applyAlignment="1" applyProtection="1">
      <alignment horizontal="right"/>
      <protection hidden="1"/>
    </xf>
    <xf numFmtId="43" fontId="0" fillId="12" borderId="8" xfId="2" applyFont="1" applyFill="1" applyBorder="1" applyAlignment="1" applyProtection="1">
      <alignment horizontal="right"/>
      <protection hidden="1"/>
    </xf>
    <xf numFmtId="43" fontId="0" fillId="12" borderId="2" xfId="2" applyFont="1" applyFill="1" applyBorder="1" applyAlignment="1" applyProtection="1">
      <alignment horizontal="right"/>
      <protection hidden="1"/>
    </xf>
    <xf numFmtId="43" fontId="0" fillId="12" borderId="3" xfId="2" applyFont="1" applyFill="1" applyBorder="1" applyAlignment="1" applyProtection="1">
      <alignment horizontal="right"/>
      <protection hidden="1"/>
    </xf>
    <xf numFmtId="43" fontId="0" fillId="12" borderId="6" xfId="2" applyFont="1" applyFill="1" applyBorder="1" applyAlignment="1" applyProtection="1">
      <alignment horizontal="right"/>
      <protection hidden="1"/>
    </xf>
    <xf numFmtId="43" fontId="0" fillId="12" borderId="7" xfId="2" applyFont="1" applyFill="1" applyBorder="1" applyAlignment="1" applyProtection="1">
      <alignment horizontal="right"/>
      <protection hidden="1"/>
    </xf>
    <xf numFmtId="43" fontId="0" fillId="12" borderId="9" xfId="2" applyFont="1" applyFill="1" applyBorder="1" applyAlignment="1" applyProtection="1">
      <alignment horizontal="right"/>
      <protection hidden="1"/>
    </xf>
    <xf numFmtId="43" fontId="0" fillId="12" borderId="10" xfId="2" applyFont="1" applyFill="1" applyBorder="1" applyAlignment="1" applyProtection="1">
      <alignment horizontal="right"/>
      <protection hidden="1"/>
    </xf>
    <xf numFmtId="164" fontId="0" fillId="8" borderId="20" xfId="0" applyNumberFormat="1" applyFill="1" applyBorder="1" applyAlignment="1" applyProtection="1">
      <alignment horizontal="right"/>
      <protection locked="0" hidden="1"/>
    </xf>
    <xf numFmtId="0" fontId="3" fillId="7" borderId="23" xfId="0" applyFont="1" applyFill="1" applyBorder="1" applyAlignment="1">
      <alignment vertical="center" wrapText="1"/>
    </xf>
    <xf numFmtId="0" fontId="3" fillId="7" borderId="24" xfId="0" applyFont="1" applyFill="1" applyBorder="1" applyAlignment="1">
      <alignment vertical="center" wrapText="1"/>
    </xf>
    <xf numFmtId="0" fontId="0" fillId="8" borderId="15" xfId="0" applyFont="1" applyFill="1" applyBorder="1" applyAlignment="1" applyProtection="1">
      <alignment horizontal="center" vertical="center"/>
      <protection locked="0"/>
    </xf>
    <xf numFmtId="0" fontId="27" fillId="7" borderId="4" xfId="0" applyFont="1" applyFill="1" applyBorder="1" applyAlignment="1" applyProtection="1">
      <alignment horizontal="center" vertical="center" wrapText="1"/>
    </xf>
    <xf numFmtId="0" fontId="0" fillId="12" borderId="11" xfId="0" applyFill="1" applyBorder="1" applyProtection="1"/>
    <xf numFmtId="0" fontId="0" fillId="12" borderId="13" xfId="0" applyFill="1" applyBorder="1" applyProtection="1"/>
    <xf numFmtId="0" fontId="0" fillId="8" borderId="45" xfId="0" applyFill="1" applyBorder="1" applyAlignment="1" applyProtection="1">
      <alignment horizontal="center" vertical="center"/>
      <protection locked="0"/>
    </xf>
    <xf numFmtId="0" fontId="28" fillId="17" borderId="0" xfId="0" applyFont="1" applyFill="1" applyAlignment="1">
      <alignment horizontal="center" vertical="center"/>
    </xf>
    <xf numFmtId="164" fontId="0" fillId="0" borderId="4" xfId="0" applyNumberFormat="1" applyBorder="1" applyAlignment="1" applyProtection="1">
      <alignment horizontal="center" vertical="center"/>
      <protection locked="0"/>
    </xf>
    <xf numFmtId="164" fontId="0" fillId="8" borderId="4" xfId="0" applyNumberFormat="1" applyFill="1" applyBorder="1" applyAlignment="1" applyProtection="1">
      <alignment horizontal="center" vertical="center"/>
      <protection locked="0"/>
    </xf>
    <xf numFmtId="164" fontId="0" fillId="6" borderId="4" xfId="0" applyNumberFormat="1" applyFill="1" applyBorder="1" applyAlignment="1" applyProtection="1">
      <alignment horizontal="center" vertical="center"/>
      <protection locked="0"/>
    </xf>
    <xf numFmtId="164" fontId="0" fillId="0" borderId="4" xfId="0" applyNumberFormat="1" applyFont="1" applyBorder="1" applyAlignment="1" applyProtection="1">
      <alignment horizontal="center" vertical="center"/>
      <protection locked="0"/>
    </xf>
    <xf numFmtId="0" fontId="0" fillId="0" borderId="14" xfId="0" applyBorder="1" applyAlignment="1" applyProtection="1">
      <alignment horizontal="left" vertical="center" wrapText="1" indent="1"/>
    </xf>
    <xf numFmtId="0" fontId="0" fillId="0" borderId="15" xfId="0" applyBorder="1" applyAlignment="1" applyProtection="1">
      <alignment horizontal="left" vertical="center" wrapText="1" indent="1"/>
    </xf>
    <xf numFmtId="0" fontId="0" fillId="0" borderId="18" xfId="0" applyBorder="1" applyAlignment="1" applyProtection="1">
      <alignment horizontal="left" vertical="center" wrapText="1" indent="1"/>
    </xf>
    <xf numFmtId="0" fontId="0" fillId="0" borderId="16" xfId="0" applyBorder="1" applyAlignment="1" applyProtection="1">
      <alignment horizontal="left" vertical="center" wrapText="1" indent="1"/>
    </xf>
    <xf numFmtId="0" fontId="7" fillId="7" borderId="11" xfId="0" applyFont="1" applyFill="1" applyBorder="1" applyAlignment="1" applyProtection="1">
      <alignment horizontal="center" vertical="center"/>
    </xf>
    <xf numFmtId="0" fontId="28" fillId="18" borderId="0" xfId="0" applyFont="1" applyFill="1" applyAlignment="1"/>
    <xf numFmtId="0" fontId="0" fillId="0" borderId="4" xfId="0" applyBorder="1" applyAlignment="1" applyProtection="1">
      <alignment horizontal="center"/>
      <protection locked="0"/>
    </xf>
    <xf numFmtId="0" fontId="30" fillId="0" borderId="0" xfId="0" applyFont="1"/>
    <xf numFmtId="0" fontId="31" fillId="0" borderId="0" xfId="0" applyFont="1"/>
    <xf numFmtId="0" fontId="29" fillId="0" borderId="0" xfId="0" applyFont="1"/>
    <xf numFmtId="0" fontId="32" fillId="0" borderId="0" xfId="0" applyFont="1"/>
    <xf numFmtId="0" fontId="33" fillId="0" borderId="0" xfId="0" applyFont="1"/>
    <xf numFmtId="0" fontId="1" fillId="0" borderId="0" xfId="0" applyFont="1"/>
    <xf numFmtId="0" fontId="34" fillId="0" borderId="0" xfId="0" applyFont="1"/>
    <xf numFmtId="0" fontId="35" fillId="0" borderId="0" xfId="0" applyFont="1"/>
    <xf numFmtId="0" fontId="36" fillId="0" borderId="0" xfId="0" applyFont="1"/>
    <xf numFmtId="165" fontId="0" fillId="11" borderId="5" xfId="0" applyNumberFormat="1" applyFill="1" applyBorder="1" applyAlignment="1" applyProtection="1">
      <alignment horizontal="right"/>
      <protection hidden="1"/>
    </xf>
    <xf numFmtId="1" fontId="0" fillId="11" borderId="20" xfId="0" applyNumberFormat="1" applyFill="1" applyBorder="1" applyProtection="1">
      <protection hidden="1"/>
    </xf>
    <xf numFmtId="1" fontId="0" fillId="11" borderId="21" xfId="0" applyNumberFormat="1" applyFill="1" applyBorder="1" applyProtection="1">
      <protection hidden="1"/>
    </xf>
    <xf numFmtId="1" fontId="0" fillId="9" borderId="4" xfId="0" applyNumberFormat="1" applyFill="1" applyBorder="1" applyProtection="1">
      <protection hidden="1"/>
    </xf>
    <xf numFmtId="1" fontId="3" fillId="7" borderId="24" xfId="0" applyNumberFormat="1" applyFont="1" applyFill="1" applyBorder="1" applyAlignment="1">
      <alignment vertical="center" wrapText="1"/>
    </xf>
    <xf numFmtId="1" fontId="1" fillId="3" borderId="32" xfId="0" applyNumberFormat="1" applyFont="1" applyFill="1" applyBorder="1" applyAlignment="1">
      <alignment vertical="center"/>
    </xf>
    <xf numFmtId="1" fontId="0" fillId="0" borderId="43" xfId="0" applyNumberFormat="1" applyBorder="1"/>
    <xf numFmtId="1" fontId="1" fillId="4" borderId="35" xfId="0" applyNumberFormat="1" applyFont="1" applyFill="1" applyBorder="1" applyAlignment="1">
      <alignment vertical="center"/>
    </xf>
    <xf numFmtId="1" fontId="0" fillId="11" borderId="5" xfId="0" applyNumberFormat="1" applyFill="1" applyBorder="1" applyAlignment="1" applyProtection="1">
      <alignment horizontal="right" vertical="center"/>
      <protection hidden="1"/>
    </xf>
    <xf numFmtId="1" fontId="0" fillId="11" borderId="4" xfId="0" applyNumberFormat="1" applyFill="1" applyBorder="1" applyAlignment="1" applyProtection="1">
      <alignment horizontal="right"/>
      <protection hidden="1"/>
    </xf>
    <xf numFmtId="1" fontId="1" fillId="4" borderId="34" xfId="0" applyNumberFormat="1" applyFont="1" applyFill="1" applyBorder="1" applyAlignment="1">
      <alignment vertical="center"/>
    </xf>
    <xf numFmtId="1" fontId="3" fillId="7" borderId="1" xfId="0" applyNumberFormat="1" applyFont="1" applyFill="1" applyBorder="1" applyAlignment="1">
      <alignment horizontal="center" vertical="center"/>
    </xf>
    <xf numFmtId="1" fontId="1" fillId="3" borderId="27" xfId="0" applyNumberFormat="1" applyFont="1" applyFill="1" applyBorder="1" applyAlignment="1">
      <alignment vertical="center"/>
    </xf>
    <xf numFmtId="1" fontId="1" fillId="3" borderId="13" xfId="0" applyNumberFormat="1" applyFont="1" applyFill="1" applyBorder="1" applyAlignment="1">
      <alignment vertical="center"/>
    </xf>
    <xf numFmtId="1" fontId="3" fillId="7" borderId="25" xfId="0" applyNumberFormat="1" applyFont="1" applyFill="1" applyBorder="1" applyAlignment="1">
      <alignment horizontal="center" vertical="center"/>
    </xf>
    <xf numFmtId="1" fontId="1" fillId="3" borderId="22" xfId="0" applyNumberFormat="1" applyFont="1" applyFill="1" applyBorder="1" applyAlignment="1">
      <alignment vertical="center"/>
    </xf>
    <xf numFmtId="1" fontId="0" fillId="0" borderId="44" xfId="0" applyNumberFormat="1" applyBorder="1"/>
    <xf numFmtId="1" fontId="0" fillId="0" borderId="31" xfId="0" applyNumberFormat="1" applyBorder="1"/>
    <xf numFmtId="1" fontId="26" fillId="7" borderId="24" xfId="0" applyNumberFormat="1" applyFont="1" applyFill="1" applyBorder="1" applyAlignment="1">
      <alignment vertical="center"/>
    </xf>
    <xf numFmtId="2" fontId="0" fillId="4" borderId="4" xfId="0" applyNumberFormat="1" applyFill="1" applyBorder="1" applyAlignment="1">
      <alignment horizontal="center" vertical="center" wrapText="1"/>
    </xf>
    <xf numFmtId="2" fontId="1" fillId="5" borderId="4" xfId="0" applyNumberFormat="1" applyFont="1" applyFill="1" applyBorder="1" applyProtection="1">
      <protection hidden="1"/>
    </xf>
    <xf numFmtId="49" fontId="0" fillId="8" borderId="15" xfId="0" applyNumberFormat="1" applyFont="1" applyFill="1" applyBorder="1" applyAlignment="1" applyProtection="1">
      <alignment horizontal="center" vertical="center"/>
      <protection locked="0"/>
    </xf>
    <xf numFmtId="0" fontId="0" fillId="0" borderId="0" xfId="0" applyAlignment="1" applyProtection="1">
      <alignment horizontal="right"/>
      <protection hidden="1"/>
    </xf>
    <xf numFmtId="49" fontId="0" fillId="0" borderId="0" xfId="0" applyNumberFormat="1"/>
    <xf numFmtId="49" fontId="0" fillId="13" borderId="15" xfId="0" applyNumberFormat="1" applyFill="1" applyBorder="1" applyAlignment="1" applyProtection="1">
      <alignment horizontal="center" vertical="center"/>
    </xf>
    <xf numFmtId="0" fontId="0" fillId="4" borderId="4" xfId="0" applyFill="1" applyBorder="1" applyAlignment="1">
      <alignment vertical="center" wrapText="1"/>
    </xf>
    <xf numFmtId="0" fontId="3" fillId="19" borderId="11" xfId="0" applyFont="1" applyFill="1" applyBorder="1" applyAlignment="1">
      <alignment horizontal="left" vertical="center" indent="1"/>
    </xf>
    <xf numFmtId="0" fontId="0" fillId="19" borderId="0" xfId="0" applyFill="1"/>
    <xf numFmtId="0" fontId="0" fillId="19" borderId="11" xfId="0" applyFill="1" applyBorder="1"/>
    <xf numFmtId="0" fontId="0" fillId="19" borderId="13" xfId="0" applyFill="1" applyBorder="1"/>
    <xf numFmtId="49" fontId="0" fillId="8" borderId="16" xfId="0" applyNumberFormat="1" applyFill="1" applyBorder="1" applyAlignment="1" applyProtection="1">
      <alignment horizontal="center" vertical="center"/>
      <protection locked="0"/>
    </xf>
    <xf numFmtId="0" fontId="37" fillId="0" borderId="0" xfId="0" applyFont="1"/>
    <xf numFmtId="0" fontId="37" fillId="0" borderId="46" xfId="0" applyFont="1" applyBorder="1" applyProtection="1">
      <protection locked="0"/>
    </xf>
    <xf numFmtId="0" fontId="37" fillId="0" borderId="4" xfId="0" applyFont="1" applyBorder="1" applyAlignment="1" applyProtection="1">
      <protection locked="0"/>
    </xf>
    <xf numFmtId="0" fontId="0" fillId="4" borderId="4" xfId="0" applyFill="1" applyBorder="1" applyAlignment="1">
      <alignment horizontal="center" vertical="center" wrapText="1"/>
    </xf>
    <xf numFmtId="0" fontId="0" fillId="0" borderId="0" xfId="0" applyAlignment="1">
      <alignment horizontal="center"/>
    </xf>
    <xf numFmtId="0" fontId="0" fillId="0" borderId="12" xfId="0" applyBorder="1" applyAlignment="1">
      <alignment horizontal="center"/>
    </xf>
    <xf numFmtId="0" fontId="0" fillId="0" borderId="0" xfId="0" applyBorder="1" applyAlignment="1">
      <alignment horizontal="center"/>
    </xf>
    <xf numFmtId="0" fontId="0" fillId="0" borderId="0" xfId="0" applyBorder="1" applyProtection="1">
      <protection locked="0"/>
    </xf>
    <xf numFmtId="0" fontId="38" fillId="4" borderId="4" xfId="0" applyFont="1" applyFill="1" applyBorder="1" applyAlignment="1">
      <alignment wrapText="1"/>
    </xf>
    <xf numFmtId="49" fontId="0" fillId="0" borderId="4" xfId="0" applyNumberFormat="1" applyBorder="1" applyProtection="1">
      <protection locked="0"/>
    </xf>
    <xf numFmtId="0" fontId="0" fillId="8" borderId="47" xfId="0" applyFill="1" applyBorder="1" applyAlignment="1" applyProtection="1">
      <alignment horizontal="center" vertical="center"/>
      <protection locked="0"/>
    </xf>
    <xf numFmtId="0" fontId="0" fillId="8" borderId="8" xfId="0" applyFill="1" applyBorder="1" applyAlignment="1" applyProtection="1">
      <alignment horizontal="center" vertical="center"/>
      <protection locked="0"/>
    </xf>
    <xf numFmtId="0" fontId="0" fillId="11" borderId="14" xfId="0" applyFill="1" applyBorder="1" applyAlignment="1" applyProtection="1">
      <alignment horizontal="center" vertical="center"/>
    </xf>
    <xf numFmtId="0" fontId="0" fillId="11" borderId="15" xfId="0" applyFill="1" applyBorder="1" applyAlignment="1" applyProtection="1">
      <alignment horizontal="center" vertical="center"/>
    </xf>
    <xf numFmtId="0" fontId="0" fillId="11" borderId="18" xfId="0" applyFill="1" applyBorder="1" applyAlignment="1" applyProtection="1">
      <alignment horizontal="center" vertical="center"/>
    </xf>
    <xf numFmtId="0" fontId="0" fillId="11" borderId="45" xfId="0" applyFill="1" applyBorder="1" applyAlignment="1" applyProtection="1">
      <alignment horizontal="center" vertical="center"/>
    </xf>
    <xf numFmtId="0" fontId="0" fillId="11" borderId="47" xfId="0" applyFill="1" applyBorder="1" applyAlignment="1" applyProtection="1">
      <alignment horizontal="center" vertical="center"/>
    </xf>
    <xf numFmtId="0" fontId="0" fillId="11" borderId="48" xfId="0" applyFill="1" applyBorder="1" applyAlignment="1" applyProtection="1">
      <alignment horizontal="center" vertical="center"/>
    </xf>
    <xf numFmtId="0" fontId="0" fillId="13" borderId="4" xfId="0" applyFill="1" applyBorder="1" applyAlignment="1" applyProtection="1">
      <alignment horizontal="right"/>
    </xf>
    <xf numFmtId="164" fontId="0" fillId="11" borderId="4" xfId="0" applyNumberFormat="1" applyFill="1" applyBorder="1" applyAlignment="1" applyProtection="1">
      <alignment horizontal="right"/>
    </xf>
    <xf numFmtId="0" fontId="0" fillId="8" borderId="4" xfId="0" applyFill="1" applyBorder="1" applyProtection="1">
      <protection locked="0"/>
    </xf>
    <xf numFmtId="0" fontId="0" fillId="8" borderId="4" xfId="0" applyFill="1" applyBorder="1" applyAlignment="1" applyProtection="1">
      <alignment horizontal="right"/>
      <protection locked="0"/>
    </xf>
    <xf numFmtId="164" fontId="0" fillId="11" borderId="4" xfId="0" applyNumberFormat="1" applyFill="1" applyBorder="1" applyAlignment="1" applyProtection="1">
      <alignment horizontal="right"/>
      <protection hidden="1"/>
    </xf>
    <xf numFmtId="0" fontId="0" fillId="8" borderId="4" xfId="0" applyFill="1" applyBorder="1" applyAlignment="1" applyProtection="1">
      <alignment horizontal="center" vertical="center"/>
      <protection locked="0"/>
    </xf>
    <xf numFmtId="0" fontId="0" fillId="8" borderId="4" xfId="0" applyFill="1" applyBorder="1" applyAlignment="1" applyProtection="1">
      <alignment horizontal="left"/>
      <protection locked="0"/>
    </xf>
    <xf numFmtId="164" fontId="0" fillId="8" borderId="1" xfId="0" applyNumberFormat="1" applyFill="1" applyBorder="1" applyAlignment="1" applyProtection="1">
      <alignment horizontal="right"/>
      <protection locked="0"/>
    </xf>
    <xf numFmtId="0" fontId="0" fillId="8" borderId="4" xfId="0" applyFill="1" applyBorder="1" applyAlignment="1" applyProtection="1">
      <alignment wrapText="1"/>
      <protection locked="0"/>
    </xf>
    <xf numFmtId="0" fontId="18" fillId="16" borderId="6" xfId="5" applyNumberFormat="1" applyFont="1" applyFill="1" applyBorder="1" applyAlignment="1">
      <alignment horizontal="justify" vertical="center"/>
    </xf>
    <xf numFmtId="0" fontId="18" fillId="16" borderId="0" xfId="5" applyNumberFormat="1" applyFont="1" applyFill="1" applyBorder="1" applyAlignment="1">
      <alignment horizontal="justify" vertical="center"/>
    </xf>
    <xf numFmtId="0" fontId="18" fillId="16" borderId="7" xfId="5" applyNumberFormat="1" applyFont="1" applyFill="1" applyBorder="1" applyAlignment="1">
      <alignment horizontal="justify" vertical="center"/>
    </xf>
    <xf numFmtId="0" fontId="18" fillId="16" borderId="9" xfId="5" applyFont="1" applyFill="1" applyBorder="1" applyAlignment="1">
      <alignment horizontal="justify" vertical="center" wrapText="1"/>
    </xf>
    <xf numFmtId="0" fontId="18" fillId="16" borderId="17" xfId="5" applyFont="1" applyFill="1" applyBorder="1" applyAlignment="1">
      <alignment horizontal="justify" vertical="center" wrapText="1"/>
    </xf>
    <xf numFmtId="0" fontId="18" fillId="16" borderId="10" xfId="5" applyFont="1" applyFill="1" applyBorder="1" applyAlignment="1">
      <alignment horizontal="justify" vertical="center" wrapText="1"/>
    </xf>
    <xf numFmtId="0" fontId="18" fillId="15" borderId="2" xfId="5" applyFont="1" applyFill="1" applyBorder="1" applyAlignment="1">
      <alignment horizontal="justify" vertical="center" wrapText="1"/>
    </xf>
    <xf numFmtId="0" fontId="18" fillId="15" borderId="33" xfId="5" applyFont="1" applyFill="1" applyBorder="1" applyAlignment="1">
      <alignment horizontal="justify" vertical="center" wrapText="1"/>
    </xf>
    <xf numFmtId="0" fontId="18" fillId="15" borderId="3" xfId="5" applyFont="1" applyFill="1" applyBorder="1" applyAlignment="1">
      <alignment horizontal="justify" vertical="center" wrapText="1"/>
    </xf>
    <xf numFmtId="0" fontId="18" fillId="15" borderId="11" xfId="5" applyFont="1" applyFill="1" applyBorder="1" applyAlignment="1">
      <alignment horizontal="justify" vertical="center" wrapText="1"/>
    </xf>
    <xf numFmtId="0" fontId="18" fillId="15" borderId="12" xfId="5" applyFont="1" applyFill="1" applyBorder="1" applyAlignment="1">
      <alignment horizontal="justify" vertical="center" wrapText="1"/>
    </xf>
    <xf numFmtId="0" fontId="18" fillId="15" borderId="13" xfId="5" applyFont="1" applyFill="1" applyBorder="1" applyAlignment="1">
      <alignment horizontal="justify" vertical="center" wrapText="1"/>
    </xf>
    <xf numFmtId="0" fontId="18" fillId="16" borderId="11" xfId="5" applyFont="1" applyFill="1" applyBorder="1" applyAlignment="1">
      <alignment horizontal="left" vertical="center"/>
    </xf>
    <xf numFmtId="0" fontId="18" fillId="16" borderId="12" xfId="5" applyFont="1" applyFill="1" applyBorder="1" applyAlignment="1">
      <alignment horizontal="left" vertical="center"/>
    </xf>
    <xf numFmtId="0" fontId="21" fillId="14" borderId="11" xfId="5" applyFont="1" applyFill="1" applyBorder="1" applyAlignment="1">
      <alignment horizontal="center" vertical="center" wrapText="1"/>
    </xf>
    <xf numFmtId="0" fontId="21" fillId="14" borderId="12" xfId="5" applyFont="1" applyFill="1" applyBorder="1" applyAlignment="1">
      <alignment horizontal="center" vertical="center" wrapText="1"/>
    </xf>
    <xf numFmtId="0" fontId="21" fillId="14" borderId="13" xfId="5" applyFont="1" applyFill="1" applyBorder="1" applyAlignment="1">
      <alignment horizontal="center" vertical="center" wrapText="1"/>
    </xf>
    <xf numFmtId="0" fontId="22" fillId="15" borderId="11" xfId="5" applyFont="1" applyFill="1" applyBorder="1" applyAlignment="1">
      <alignment horizontal="justify" vertical="top" wrapText="1"/>
    </xf>
    <xf numFmtId="0" fontId="22" fillId="15" borderId="12" xfId="5" applyFont="1" applyFill="1" applyBorder="1" applyAlignment="1">
      <alignment horizontal="justify" vertical="top" wrapText="1"/>
    </xf>
    <xf numFmtId="0" fontId="22" fillId="15" borderId="13" xfId="5" applyFont="1" applyFill="1" applyBorder="1" applyAlignment="1">
      <alignment horizontal="justify" vertical="top" wrapText="1"/>
    </xf>
    <xf numFmtId="0" fontId="21" fillId="14" borderId="11" xfId="5" applyFont="1" applyFill="1" applyBorder="1" applyAlignment="1">
      <alignment horizontal="center" vertical="center"/>
    </xf>
    <xf numFmtId="0" fontId="21" fillId="14" borderId="12" xfId="5" applyFont="1" applyFill="1" applyBorder="1" applyAlignment="1">
      <alignment horizontal="center" vertical="center"/>
    </xf>
    <xf numFmtId="0" fontId="21" fillId="14" borderId="13" xfId="5" applyFont="1" applyFill="1" applyBorder="1" applyAlignment="1">
      <alignment horizontal="center" vertical="center"/>
    </xf>
    <xf numFmtId="0" fontId="14" fillId="14" borderId="11" xfId="4" applyFont="1" applyFill="1" applyBorder="1" applyAlignment="1">
      <alignment vertical="center" wrapText="1"/>
    </xf>
    <xf numFmtId="0" fontId="14" fillId="14" borderId="12" xfId="4" applyFont="1" applyFill="1" applyBorder="1" applyAlignment="1">
      <alignment vertical="center" wrapText="1"/>
    </xf>
    <xf numFmtId="0" fontId="14" fillId="14" borderId="13" xfId="4" applyFont="1" applyFill="1" applyBorder="1" applyAlignment="1">
      <alignment vertical="center" wrapText="1"/>
    </xf>
    <xf numFmtId="0" fontId="2" fillId="0" borderId="11" xfId="1" applyBorder="1" applyAlignment="1" applyProtection="1">
      <alignment vertical="center"/>
    </xf>
    <xf numFmtId="0" fontId="2" fillId="0" borderId="12" xfId="1" applyBorder="1" applyAlignment="1" applyProtection="1"/>
    <xf numFmtId="0" fontId="2" fillId="0" borderId="13" xfId="1" applyBorder="1" applyAlignment="1" applyProtection="1"/>
    <xf numFmtId="0" fontId="2" fillId="0" borderId="12" xfId="1" applyBorder="1" applyAlignment="1" applyProtection="1">
      <alignment vertical="center"/>
    </xf>
    <xf numFmtId="0" fontId="2" fillId="0" borderId="13" xfId="1" applyBorder="1" applyAlignment="1" applyProtection="1">
      <alignment vertical="center"/>
    </xf>
    <xf numFmtId="0" fontId="16" fillId="14" borderId="11" xfId="4" applyFont="1" applyFill="1" applyBorder="1" applyAlignment="1">
      <alignment horizontal="center" vertical="center" wrapText="1"/>
    </xf>
    <xf numFmtId="0" fontId="17" fillId="14" borderId="12" xfId="4" applyFont="1" applyFill="1" applyBorder="1" applyAlignment="1">
      <alignment horizontal="center" vertical="center" wrapText="1"/>
    </xf>
    <xf numFmtId="0" fontId="17" fillId="14" borderId="13" xfId="4" applyFont="1" applyFill="1" applyBorder="1" applyAlignment="1">
      <alignment horizontal="center" vertical="center" wrapText="1"/>
    </xf>
    <xf numFmtId="0" fontId="18" fillId="16" borderId="1" xfId="4" applyNumberFormat="1" applyFont="1" applyFill="1" applyBorder="1" applyAlignment="1">
      <alignment horizontal="justify" vertical="center" wrapText="1"/>
    </xf>
    <xf numFmtId="0" fontId="18" fillId="16" borderId="8" xfId="4" applyNumberFormat="1" applyFont="1" applyFill="1" applyBorder="1" applyAlignment="1">
      <alignment horizontal="justify" vertical="center" wrapText="1"/>
    </xf>
    <xf numFmtId="0" fontId="18" fillId="15" borderId="6" xfId="5" applyFont="1" applyFill="1" applyBorder="1" applyAlignment="1">
      <alignment horizontal="justify" vertical="center" wrapText="1"/>
    </xf>
    <xf numFmtId="0" fontId="18" fillId="15" borderId="0" xfId="5" applyFont="1" applyFill="1" applyBorder="1" applyAlignment="1">
      <alignment horizontal="justify" vertical="center"/>
    </xf>
    <xf numFmtId="0" fontId="18" fillId="15" borderId="7" xfId="5" applyFont="1" applyFill="1" applyBorder="1" applyAlignment="1">
      <alignment horizontal="justify" vertical="center"/>
    </xf>
    <xf numFmtId="0" fontId="18" fillId="15" borderId="6" xfId="5" applyFont="1" applyFill="1" applyBorder="1" applyAlignment="1">
      <alignment horizontal="left" vertical="center" wrapText="1"/>
    </xf>
    <xf numFmtId="0" fontId="18" fillId="15" borderId="0" xfId="5" applyFont="1" applyFill="1" applyBorder="1" applyAlignment="1">
      <alignment horizontal="left" vertical="center" wrapText="1"/>
    </xf>
    <xf numFmtId="0" fontId="18" fillId="15" borderId="7" xfId="5" applyFont="1" applyFill="1" applyBorder="1" applyAlignment="1">
      <alignment horizontal="left" vertical="center" wrapText="1"/>
    </xf>
    <xf numFmtId="0" fontId="18" fillId="16" borderId="4" xfId="5" applyNumberFormat="1" applyFont="1" applyFill="1" applyBorder="1" applyAlignment="1">
      <alignment horizontal="justify" vertical="center"/>
    </xf>
    <xf numFmtId="0" fontId="18" fillId="15" borderId="4" xfId="5" applyFont="1" applyFill="1" applyBorder="1" applyAlignment="1">
      <alignment horizontal="justify" vertical="center"/>
    </xf>
    <xf numFmtId="0" fontId="18" fillId="15" borderId="4" xfId="5" applyFont="1" applyFill="1" applyBorder="1" applyAlignment="1">
      <alignment horizontal="justify" vertical="center" wrapText="1"/>
    </xf>
    <xf numFmtId="0" fontId="18" fillId="16" borderId="4" xfId="5" applyNumberFormat="1" applyFont="1" applyFill="1" applyBorder="1" applyAlignment="1">
      <alignment horizontal="justify" vertical="center" wrapText="1"/>
    </xf>
    <xf numFmtId="0" fontId="22" fillId="15" borderId="2" xfId="5" applyFont="1" applyFill="1" applyBorder="1" applyAlignment="1">
      <alignment horizontal="justify" vertical="top" wrapText="1"/>
    </xf>
    <xf numFmtId="0" fontId="22" fillId="15" borderId="33" xfId="5" applyFont="1" applyFill="1" applyBorder="1" applyAlignment="1">
      <alignment horizontal="justify" vertical="top" wrapText="1"/>
    </xf>
    <xf numFmtId="0" fontId="22" fillId="15" borderId="3" xfId="5" applyFont="1" applyFill="1" applyBorder="1" applyAlignment="1">
      <alignment horizontal="justify" vertical="top" wrapText="1"/>
    </xf>
    <xf numFmtId="0" fontId="22" fillId="15" borderId="2" xfId="5" applyFont="1" applyFill="1" applyBorder="1" applyAlignment="1">
      <alignment horizontal="justify" vertical="center" wrapText="1"/>
    </xf>
    <xf numFmtId="0" fontId="22" fillId="15" borderId="33" xfId="5" applyFont="1" applyFill="1" applyBorder="1" applyAlignment="1">
      <alignment horizontal="justify" vertical="center" wrapText="1"/>
    </xf>
    <xf numFmtId="0" fontId="22" fillId="15" borderId="3" xfId="5" applyFont="1" applyFill="1" applyBorder="1" applyAlignment="1">
      <alignment horizontal="justify" vertical="center" wrapText="1"/>
    </xf>
    <xf numFmtId="0" fontId="18" fillId="15" borderId="0" xfId="5" applyFont="1" applyFill="1" applyBorder="1" applyAlignment="1">
      <alignment horizontal="justify" vertical="center" wrapText="1"/>
    </xf>
    <xf numFmtId="0" fontId="18" fillId="15" borderId="7" xfId="5" applyFont="1" applyFill="1" applyBorder="1" applyAlignment="1">
      <alignment horizontal="justify" vertical="center" wrapText="1"/>
    </xf>
    <xf numFmtId="0" fontId="6" fillId="6" borderId="0" xfId="0" applyFont="1" applyFill="1" applyBorder="1" applyAlignment="1" applyProtection="1">
      <alignment horizontal="center"/>
    </xf>
    <xf numFmtId="0" fontId="5" fillId="7" borderId="11" xfId="0" applyFont="1" applyFill="1" applyBorder="1" applyAlignment="1" applyProtection="1">
      <alignment horizontal="center" vertical="center"/>
    </xf>
    <xf numFmtId="0" fontId="5" fillId="7" borderId="13" xfId="0" applyFont="1" applyFill="1" applyBorder="1" applyAlignment="1" applyProtection="1">
      <alignment horizontal="center" vertical="center"/>
    </xf>
    <xf numFmtId="0" fontId="0" fillId="12" borderId="11" xfId="0" applyFill="1" applyBorder="1" applyAlignment="1" applyProtection="1">
      <alignment horizontal="center"/>
    </xf>
    <xf numFmtId="0" fontId="0" fillId="12" borderId="12" xfId="0" applyFill="1" applyBorder="1" applyAlignment="1" applyProtection="1">
      <alignment horizontal="center"/>
    </xf>
    <xf numFmtId="0" fontId="0" fillId="12" borderId="13" xfId="0" applyFill="1" applyBorder="1" applyAlignment="1" applyProtection="1">
      <alignment horizontal="center"/>
    </xf>
    <xf numFmtId="0" fontId="0" fillId="4" borderId="11" xfId="0" applyFill="1" applyBorder="1" applyAlignment="1">
      <alignment horizontal="center" vertical="center" wrapText="1"/>
    </xf>
    <xf numFmtId="0" fontId="0" fillId="4" borderId="13" xfId="0" applyFill="1" applyBorder="1" applyAlignment="1">
      <alignment horizontal="center" vertical="center" wrapText="1"/>
    </xf>
    <xf numFmtId="0" fontId="0" fillId="4" borderId="4" xfId="0" applyFill="1" applyBorder="1" applyAlignment="1">
      <alignment horizontal="center" vertical="center" wrapText="1"/>
    </xf>
    <xf numFmtId="0" fontId="3" fillId="7" borderId="11" xfId="0" applyFont="1" applyFill="1" applyBorder="1" applyAlignment="1">
      <alignment horizontal="left" vertical="center" wrapText="1"/>
    </xf>
    <xf numFmtId="0" fontId="3" fillId="7" borderId="12" xfId="0" applyFont="1" applyFill="1" applyBorder="1" applyAlignment="1">
      <alignment horizontal="left" vertical="center" wrapText="1"/>
    </xf>
    <xf numFmtId="0" fontId="3" fillId="7" borderId="13" xfId="0" applyFont="1" applyFill="1" applyBorder="1" applyAlignment="1">
      <alignment horizontal="left" vertical="center" wrapText="1"/>
    </xf>
    <xf numFmtId="0" fontId="0" fillId="4" borderId="11" xfId="0" applyFill="1" applyBorder="1" applyAlignment="1">
      <alignment horizontal="center" vertical="center"/>
    </xf>
    <xf numFmtId="0" fontId="0" fillId="4" borderId="12" xfId="0" applyFill="1" applyBorder="1" applyAlignment="1">
      <alignment horizontal="center" vertical="center"/>
    </xf>
    <xf numFmtId="0" fontId="0" fillId="4" borderId="13" xfId="0" applyFill="1" applyBorder="1" applyAlignment="1">
      <alignment horizontal="center" vertical="center"/>
    </xf>
    <xf numFmtId="0" fontId="0" fillId="4" borderId="1" xfId="0" applyFill="1" applyBorder="1" applyAlignment="1">
      <alignment horizontal="center" vertical="center" wrapText="1"/>
    </xf>
    <xf numFmtId="0" fontId="0" fillId="4" borderId="5" xfId="0" applyFill="1" applyBorder="1" applyAlignment="1">
      <alignment horizontal="center" vertical="center" wrapText="1"/>
    </xf>
    <xf numFmtId="0" fontId="0" fillId="4" borderId="8" xfId="0" applyFill="1" applyBorder="1" applyAlignment="1">
      <alignment horizontal="center" vertical="center" wrapText="1"/>
    </xf>
    <xf numFmtId="0" fontId="3" fillId="5" borderId="11" xfId="0" applyFont="1" applyFill="1" applyBorder="1" applyAlignment="1">
      <alignment horizontal="left" vertical="center" wrapText="1"/>
    </xf>
    <xf numFmtId="0" fontId="3" fillId="5" borderId="12" xfId="0" applyFont="1" applyFill="1" applyBorder="1" applyAlignment="1">
      <alignment horizontal="left" vertical="center" wrapText="1"/>
    </xf>
    <xf numFmtId="0" fontId="3" fillId="5" borderId="13" xfId="0" applyFont="1" applyFill="1" applyBorder="1" applyAlignment="1">
      <alignment horizontal="left" vertical="center" wrapText="1"/>
    </xf>
    <xf numFmtId="4" fontId="0" fillId="4" borderId="35" xfId="0" applyNumberFormat="1" applyFill="1" applyBorder="1" applyAlignment="1" applyProtection="1">
      <alignment horizontal="center" vertical="center"/>
    </xf>
    <xf numFmtId="4" fontId="0" fillId="4" borderId="36" xfId="0" applyNumberFormat="1" applyFill="1" applyBorder="1" applyAlignment="1" applyProtection="1">
      <alignment horizontal="center" vertical="center"/>
    </xf>
    <xf numFmtId="0" fontId="1" fillId="4" borderId="4" xfId="0" applyFont="1" applyFill="1" applyBorder="1" applyAlignment="1">
      <alignment horizontal="right" wrapText="1"/>
    </xf>
    <xf numFmtId="0" fontId="1" fillId="4" borderId="4" xfId="0" applyFont="1" applyFill="1" applyBorder="1" applyAlignment="1">
      <alignment horizontal="right"/>
    </xf>
    <xf numFmtId="0" fontId="1" fillId="4" borderId="20" xfId="0" applyFont="1" applyFill="1" applyBorder="1" applyAlignment="1">
      <alignment horizontal="right" wrapText="1"/>
    </xf>
    <xf numFmtId="0" fontId="1" fillId="4" borderId="20" xfId="0" applyFont="1" applyFill="1" applyBorder="1" applyAlignment="1">
      <alignment horizontal="right"/>
    </xf>
    <xf numFmtId="1" fontId="0" fillId="12" borderId="28" xfId="0" applyNumberFormat="1" applyFill="1" applyBorder="1" applyAlignment="1" applyProtection="1">
      <alignment horizontal="center" vertical="center"/>
      <protection hidden="1"/>
    </xf>
    <xf numFmtId="1" fontId="0" fillId="12" borderId="29" xfId="0" applyNumberFormat="1" applyFill="1" applyBorder="1" applyAlignment="1" applyProtection="1">
      <alignment horizontal="center" vertical="center"/>
      <protection hidden="1"/>
    </xf>
    <xf numFmtId="1" fontId="0" fillId="12" borderId="6" xfId="0" applyNumberFormat="1" applyFill="1" applyBorder="1" applyAlignment="1" applyProtection="1">
      <alignment horizontal="center" vertical="center"/>
      <protection hidden="1"/>
    </xf>
    <xf numFmtId="1" fontId="0" fillId="12" borderId="7" xfId="0" applyNumberFormat="1" applyFill="1" applyBorder="1" applyAlignment="1" applyProtection="1">
      <alignment horizontal="center" vertical="center"/>
      <protection hidden="1"/>
    </xf>
    <xf numFmtId="1" fontId="0" fillId="12" borderId="30" xfId="0" applyNumberFormat="1" applyFill="1" applyBorder="1" applyAlignment="1" applyProtection="1">
      <alignment horizontal="center" vertical="center"/>
      <protection hidden="1"/>
    </xf>
    <xf numFmtId="1" fontId="0" fillId="12" borderId="31" xfId="0" applyNumberFormat="1" applyFill="1" applyBorder="1" applyAlignment="1" applyProtection="1">
      <alignment horizontal="center" vertical="center"/>
      <protection hidden="1"/>
    </xf>
    <xf numFmtId="0" fontId="1" fillId="6" borderId="34" xfId="0" applyFont="1" applyFill="1" applyBorder="1" applyAlignment="1">
      <alignment horizontal="center" vertical="center"/>
    </xf>
    <xf numFmtId="0" fontId="1" fillId="6" borderId="36" xfId="0" applyFont="1" applyFill="1" applyBorder="1" applyAlignment="1">
      <alignment horizontal="center" vertical="center"/>
    </xf>
    <xf numFmtId="0" fontId="3" fillId="4" borderId="34" xfId="0" applyFont="1" applyFill="1" applyBorder="1" applyAlignment="1">
      <alignment horizontal="right" vertical="center" indent="2"/>
    </xf>
    <xf numFmtId="0" fontId="3" fillId="4" borderId="35" xfId="0" applyFont="1" applyFill="1" applyBorder="1" applyAlignment="1">
      <alignment horizontal="right" vertical="center" indent="2"/>
    </xf>
    <xf numFmtId="0" fontId="3" fillId="4" borderId="36" xfId="0" applyFont="1" applyFill="1" applyBorder="1" applyAlignment="1">
      <alignment horizontal="right" vertical="center" indent="2"/>
    </xf>
    <xf numFmtId="1" fontId="0" fillId="4" borderId="4" xfId="0" applyNumberFormat="1" applyFont="1" applyFill="1" applyBorder="1" applyAlignment="1">
      <alignment horizontal="center" vertical="center" wrapText="1"/>
    </xf>
    <xf numFmtId="1" fontId="0" fillId="4" borderId="1" xfId="0" applyNumberFormat="1" applyFont="1" applyFill="1" applyBorder="1" applyAlignment="1">
      <alignment horizontal="center" vertical="center" wrapText="1"/>
    </xf>
    <xf numFmtId="1" fontId="0" fillId="4" borderId="5" xfId="0" applyNumberFormat="1" applyFont="1" applyFill="1" applyBorder="1" applyAlignment="1">
      <alignment horizontal="center" vertical="center" wrapText="1"/>
    </xf>
    <xf numFmtId="1" fontId="0" fillId="4" borderId="8" xfId="0" applyNumberFormat="1" applyFont="1" applyFill="1" applyBorder="1" applyAlignment="1">
      <alignment horizontal="center" vertical="center" wrapText="1"/>
    </xf>
    <xf numFmtId="0" fontId="1" fillId="3" borderId="21" xfId="0" applyFont="1" applyFill="1" applyBorder="1" applyAlignment="1">
      <alignment horizontal="left" vertical="center"/>
    </xf>
    <xf numFmtId="0" fontId="0" fillId="0" borderId="20" xfId="0" applyBorder="1" applyAlignment="1">
      <alignment horizontal="left"/>
    </xf>
    <xf numFmtId="0" fontId="0" fillId="12" borderId="28" xfId="0" applyFill="1" applyBorder="1" applyAlignment="1" applyProtection="1">
      <alignment horizontal="right"/>
      <protection hidden="1"/>
    </xf>
    <xf numFmtId="0" fontId="0" fillId="12" borderId="29" xfId="0" applyFill="1" applyBorder="1" applyAlignment="1" applyProtection="1">
      <alignment horizontal="right"/>
      <protection hidden="1"/>
    </xf>
    <xf numFmtId="0" fontId="0" fillId="12" borderId="6" xfId="0" applyFill="1" applyBorder="1" applyAlignment="1" applyProtection="1">
      <alignment horizontal="right"/>
      <protection hidden="1"/>
    </xf>
    <xf numFmtId="0" fontId="0" fillId="12" borderId="7" xfId="0" applyFill="1" applyBorder="1" applyAlignment="1" applyProtection="1">
      <alignment horizontal="right"/>
      <protection hidden="1"/>
    </xf>
    <xf numFmtId="0" fontId="0" fillId="12" borderId="30" xfId="0" applyFill="1" applyBorder="1" applyAlignment="1" applyProtection="1">
      <alignment horizontal="right"/>
      <protection hidden="1"/>
    </xf>
    <xf numFmtId="0" fontId="0" fillId="12" borderId="31" xfId="0" applyFill="1" applyBorder="1" applyAlignment="1" applyProtection="1">
      <alignment horizontal="right"/>
      <protection hidden="1"/>
    </xf>
    <xf numFmtId="0" fontId="0" fillId="4" borderId="2" xfId="0" applyFont="1" applyFill="1" applyBorder="1" applyAlignment="1">
      <alignment horizontal="center" vertical="center" wrapText="1"/>
    </xf>
    <xf numFmtId="0" fontId="0" fillId="4" borderId="3" xfId="0" applyFont="1" applyFill="1" applyBorder="1" applyAlignment="1">
      <alignment horizontal="center" vertical="center" wrapText="1"/>
    </xf>
    <xf numFmtId="0" fontId="0" fillId="4" borderId="6" xfId="0" applyFont="1" applyFill="1" applyBorder="1" applyAlignment="1">
      <alignment horizontal="center" vertical="center" wrapText="1"/>
    </xf>
    <xf numFmtId="0" fontId="0" fillId="4" borderId="7" xfId="0" applyFont="1" applyFill="1" applyBorder="1" applyAlignment="1">
      <alignment horizontal="center" vertical="center" wrapText="1"/>
    </xf>
    <xf numFmtId="0" fontId="0" fillId="4" borderId="9" xfId="0" applyFont="1" applyFill="1" applyBorder="1" applyAlignment="1">
      <alignment horizontal="center" vertical="center" wrapText="1"/>
    </xf>
    <xf numFmtId="0" fontId="0" fillId="4" borderId="10" xfId="0" applyFont="1" applyFill="1" applyBorder="1" applyAlignment="1">
      <alignment horizontal="center" vertical="center" wrapText="1"/>
    </xf>
    <xf numFmtId="0" fontId="0" fillId="4" borderId="4" xfId="0" applyFont="1" applyFill="1" applyBorder="1" applyAlignment="1">
      <alignment horizontal="center" vertical="center" wrapText="1"/>
    </xf>
    <xf numFmtId="0" fontId="0" fillId="4" borderId="11" xfId="0" applyFont="1" applyFill="1" applyBorder="1" applyAlignment="1">
      <alignment horizontal="center" vertical="center"/>
    </xf>
    <xf numFmtId="0" fontId="0" fillId="4" borderId="12" xfId="0" applyFont="1" applyFill="1" applyBorder="1" applyAlignment="1">
      <alignment horizontal="center" vertical="center"/>
    </xf>
    <xf numFmtId="0" fontId="0" fillId="4" borderId="13" xfId="0" applyFont="1" applyFill="1" applyBorder="1" applyAlignment="1">
      <alignment horizontal="center" vertical="center"/>
    </xf>
    <xf numFmtId="2" fontId="0" fillId="4" borderId="4" xfId="2" applyNumberFormat="1" applyFont="1" applyFill="1" applyBorder="1" applyAlignment="1">
      <alignment horizontal="center" vertical="center" wrapText="1"/>
    </xf>
    <xf numFmtId="2" fontId="0" fillId="4" borderId="4" xfId="0" applyNumberFormat="1" applyFont="1" applyFill="1" applyBorder="1" applyAlignment="1">
      <alignment horizontal="center" vertical="center" wrapText="1"/>
    </xf>
    <xf numFmtId="1" fontId="0" fillId="4" borderId="4" xfId="0" applyNumberFormat="1" applyFill="1" applyBorder="1" applyAlignment="1">
      <alignment horizontal="center" vertical="center" wrapText="1"/>
    </xf>
    <xf numFmtId="0" fontId="3" fillId="7" borderId="23" xfId="0" applyFont="1" applyFill="1" applyBorder="1" applyAlignment="1">
      <alignment horizontal="left" vertical="center" wrapText="1"/>
    </xf>
    <xf numFmtId="0" fontId="3" fillId="7" borderId="24" xfId="0" applyFont="1" applyFill="1" applyBorder="1" applyAlignment="1">
      <alignment horizontal="left" vertical="center" wrapText="1"/>
    </xf>
    <xf numFmtId="0" fontId="3" fillId="7" borderId="25" xfId="0" applyFont="1" applyFill="1" applyBorder="1" applyAlignment="1">
      <alignment horizontal="left" vertical="center" wrapText="1"/>
    </xf>
    <xf numFmtId="0" fontId="3" fillId="7" borderId="1" xfId="0" applyFont="1" applyFill="1" applyBorder="1" applyAlignment="1">
      <alignment horizontal="left" vertical="center" wrapText="1" indent="2"/>
    </xf>
    <xf numFmtId="0" fontId="0" fillId="4" borderId="1" xfId="0" applyFont="1" applyFill="1" applyBorder="1" applyAlignment="1">
      <alignment horizontal="center" vertical="center"/>
    </xf>
    <xf numFmtId="0" fontId="0" fillId="4" borderId="5" xfId="0" applyFont="1" applyFill="1" applyBorder="1" applyAlignment="1">
      <alignment horizontal="center" vertical="center"/>
    </xf>
    <xf numFmtId="0" fontId="0" fillId="4" borderId="8" xfId="0" applyFont="1" applyFill="1" applyBorder="1" applyAlignment="1">
      <alignment horizontal="center" vertical="center"/>
    </xf>
    <xf numFmtId="0" fontId="1" fillId="8" borderId="34" xfId="0" applyFont="1" applyFill="1" applyBorder="1" applyAlignment="1">
      <alignment horizontal="center" vertical="center"/>
    </xf>
    <xf numFmtId="0" fontId="0" fillId="4" borderId="5" xfId="0" applyFont="1" applyFill="1" applyBorder="1" applyAlignment="1">
      <alignment horizontal="center" vertical="center" wrapText="1"/>
    </xf>
    <xf numFmtId="0" fontId="0" fillId="4" borderId="8" xfId="0" applyFont="1" applyFill="1" applyBorder="1" applyAlignment="1">
      <alignment horizontal="center" vertical="center" wrapText="1"/>
    </xf>
    <xf numFmtId="0" fontId="0" fillId="4" borderId="1" xfId="0" applyFont="1" applyFill="1" applyBorder="1" applyAlignment="1">
      <alignment horizontal="center" vertical="center" wrapText="1"/>
    </xf>
    <xf numFmtId="0" fontId="0" fillId="4" borderId="11" xfId="0" applyFont="1" applyFill="1" applyBorder="1" applyAlignment="1">
      <alignment horizontal="center" vertical="center" wrapText="1"/>
    </xf>
    <xf numFmtId="0" fontId="0" fillId="4" borderId="12" xfId="0" applyFont="1" applyFill="1" applyBorder="1" applyAlignment="1">
      <alignment horizontal="center" vertical="center" wrapText="1"/>
    </xf>
    <xf numFmtId="0" fontId="0" fillId="4" borderId="13" xfId="0" applyFont="1" applyFill="1" applyBorder="1" applyAlignment="1">
      <alignment horizontal="center" vertical="center" wrapText="1"/>
    </xf>
    <xf numFmtId="0" fontId="38" fillId="4" borderId="1" xfId="0" applyFont="1" applyFill="1" applyBorder="1" applyAlignment="1">
      <alignment horizontal="center" vertical="center" wrapText="1"/>
    </xf>
    <xf numFmtId="0" fontId="38" fillId="4" borderId="8" xfId="0" applyFont="1" applyFill="1" applyBorder="1" applyAlignment="1">
      <alignment horizontal="center" vertical="center" wrapText="1"/>
    </xf>
    <xf numFmtId="0" fontId="0" fillId="4" borderId="12" xfId="0" applyFill="1" applyBorder="1" applyAlignment="1">
      <alignment horizontal="center" vertical="center" wrapText="1"/>
    </xf>
    <xf numFmtId="0" fontId="38" fillId="4" borderId="4" xfId="0" applyFont="1" applyFill="1" applyBorder="1" applyAlignment="1">
      <alignment horizontal="center" vertical="center" wrapText="1"/>
    </xf>
    <xf numFmtId="0" fontId="0" fillId="4" borderId="4" xfId="0" applyFill="1" applyBorder="1" applyAlignment="1">
      <alignment vertical="center" wrapText="1"/>
    </xf>
    <xf numFmtId="0" fontId="0" fillId="0" borderId="0" xfId="0" applyAlignment="1">
      <alignment horizontal="center"/>
    </xf>
    <xf numFmtId="0" fontId="0" fillId="0" borderId="17" xfId="0" applyBorder="1" applyAlignment="1">
      <alignment horizontal="center"/>
    </xf>
    <xf numFmtId="0" fontId="0" fillId="0" borderId="12" xfId="0" applyBorder="1" applyAlignment="1">
      <alignment horizontal="center"/>
    </xf>
    <xf numFmtId="0" fontId="0" fillId="19" borderId="12" xfId="0" applyFill="1" applyBorder="1" applyAlignment="1">
      <alignment horizontal="center"/>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0" fillId="10" borderId="1" xfId="0" applyFont="1" applyFill="1" applyBorder="1" applyAlignment="1">
      <alignment horizontal="center" vertical="center" wrapText="1"/>
    </xf>
    <xf numFmtId="0" fontId="0" fillId="10" borderId="5" xfId="0" applyFont="1" applyFill="1" applyBorder="1" applyAlignment="1">
      <alignment horizontal="center" vertical="center" wrapText="1"/>
    </xf>
    <xf numFmtId="0" fontId="0" fillId="10" borderId="8" xfId="0" applyFont="1" applyFill="1" applyBorder="1" applyAlignment="1">
      <alignment horizontal="center" vertical="center" wrapText="1"/>
    </xf>
    <xf numFmtId="0" fontId="0" fillId="0" borderId="5" xfId="0" applyBorder="1"/>
    <xf numFmtId="0" fontId="0" fillId="0" borderId="8" xfId="0" applyBorder="1"/>
    <xf numFmtId="0" fontId="0" fillId="0" borderId="5" xfId="0" applyBorder="1" applyAlignment="1">
      <alignment horizontal="center"/>
    </xf>
    <xf numFmtId="0" fontId="0" fillId="0" borderId="8" xfId="0" applyBorder="1" applyAlignment="1">
      <alignment horizontal="center"/>
    </xf>
    <xf numFmtId="0" fontId="3" fillId="7" borderId="11" xfId="0" applyFont="1" applyFill="1" applyBorder="1" applyAlignment="1">
      <alignment horizontal="center" vertical="center" wrapText="1"/>
    </xf>
    <xf numFmtId="0" fontId="3" fillId="7" borderId="12" xfId="0" applyFont="1" applyFill="1" applyBorder="1" applyAlignment="1">
      <alignment horizontal="center" vertical="center" wrapText="1"/>
    </xf>
    <xf numFmtId="0" fontId="3" fillId="7" borderId="13" xfId="0" applyFont="1" applyFill="1" applyBorder="1" applyAlignment="1">
      <alignment horizontal="center" vertical="center" wrapText="1"/>
    </xf>
    <xf numFmtId="0" fontId="0" fillId="10" borderId="1" xfId="0" applyFill="1" applyBorder="1" applyAlignment="1" applyProtection="1">
      <alignment horizontal="center" vertical="center" wrapText="1"/>
      <protection locked="0"/>
    </xf>
    <xf numFmtId="0" fontId="0" fillId="10" borderId="5" xfId="0" applyFill="1" applyBorder="1" applyAlignment="1" applyProtection="1">
      <alignment horizontal="center" vertical="center" wrapText="1"/>
      <protection locked="0"/>
    </xf>
    <xf numFmtId="0" fontId="0" fillId="10" borderId="8" xfId="0" applyFill="1" applyBorder="1" applyAlignment="1" applyProtection="1">
      <alignment horizontal="center" vertical="center" wrapText="1"/>
      <protection locked="0"/>
    </xf>
  </cellXfs>
  <cellStyles count="6">
    <cellStyle name="Comma" xfId="2" builtinId="3"/>
    <cellStyle name="Hyperlink" xfId="1" builtinId="8"/>
    <cellStyle name="Hyperlink 2" xfId="3"/>
    <cellStyle name="Normal" xfId="0" builtinId="0"/>
    <cellStyle name="Normal 2" xfId="5"/>
    <cellStyle name="Normal 2 4" xfId="4"/>
  </cellStyles>
  <dxfs count="0"/>
  <tableStyles count="0" defaultTableStyle="TableStyleMedium2" defaultPivotStyle="PivotStyleLight16"/>
  <colors>
    <mruColors>
      <color rgb="FF92CDE1"/>
      <color rgb="FFD8D8D8"/>
      <color rgb="FFDDEBF7"/>
      <color rgb="FF5B9BD5"/>
      <color rgb="FFF2F2F2"/>
      <color rgb="FF92CDDC"/>
      <color rgb="FFB685DB"/>
      <color rgb="FFD8BEEC"/>
      <color rgb="FFF3F3F3"/>
      <color rgb="FFDEEBF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12</xdr:col>
      <xdr:colOff>337185</xdr:colOff>
      <xdr:row>5</xdr:row>
      <xdr:rowOff>60960</xdr:rowOff>
    </xdr:to>
    <xdr:pic>
      <xdr:nvPicPr>
        <xdr:cNvPr id="2" name="Picture 1"/>
        <xdr:cNvPicPr>
          <a:picLocks noChangeAspect="1"/>
        </xdr:cNvPicPr>
      </xdr:nvPicPr>
      <xdr:blipFill>
        <a:blip xmlns:r="http://schemas.openxmlformats.org/officeDocument/2006/relationships" r:embed="rId1" cstate="print"/>
        <a:stretch>
          <a:fillRect/>
        </a:stretch>
      </xdr:blipFill>
      <xdr:spPr>
        <a:xfrm>
          <a:off x="6400800" y="0"/>
          <a:ext cx="1851660" cy="10134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132804</xdr:colOff>
      <xdr:row>3</xdr:row>
      <xdr:rowOff>119900</xdr:rowOff>
    </xdr:from>
    <xdr:to>
      <xdr:col>4</xdr:col>
      <xdr:colOff>888804</xdr:colOff>
      <xdr:row>3</xdr:row>
      <xdr:rowOff>348500</xdr:rowOff>
    </xdr:to>
    <xdr:sp macro="[0]!home" textlink="">
      <xdr:nvSpPr>
        <xdr:cNvPr id="2" name="Rounded Rectangle 1"/>
        <xdr:cNvSpPr/>
      </xdr:nvSpPr>
      <xdr:spPr>
        <a:xfrm>
          <a:off x="323304" y="6914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971004</xdr:colOff>
      <xdr:row>3</xdr:row>
      <xdr:rowOff>112060</xdr:rowOff>
    </xdr:from>
    <xdr:to>
      <xdr:col>4</xdr:col>
      <xdr:colOff>1727004</xdr:colOff>
      <xdr:row>3</xdr:row>
      <xdr:rowOff>340660</xdr:rowOff>
    </xdr:to>
    <xdr:sp macro="[0]!'ValidateGeneralInfo 1'" textlink="">
      <xdr:nvSpPr>
        <xdr:cNvPr id="3" name="Rounded Rectangle 2"/>
        <xdr:cNvSpPr/>
      </xdr:nvSpPr>
      <xdr:spPr>
        <a:xfrm>
          <a:off x="1161504" y="6835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1800225</xdr:colOff>
      <xdr:row>3</xdr:row>
      <xdr:rowOff>114299</xdr:rowOff>
    </xdr:from>
    <xdr:to>
      <xdr:col>4</xdr:col>
      <xdr:colOff>2762250</xdr:colOff>
      <xdr:row>3</xdr:row>
      <xdr:rowOff>352424</xdr:rowOff>
    </xdr:to>
    <xdr:sp macro="[0]!PickInputFile" textlink="">
      <xdr:nvSpPr>
        <xdr:cNvPr id="4" name="Rounded Rectangle 3"/>
        <xdr:cNvSpPr/>
      </xdr:nvSpPr>
      <xdr:spPr>
        <a:xfrm>
          <a:off x="1990725" y="114299"/>
          <a:ext cx="962025" cy="238125"/>
        </a:xfrm>
        <a:prstGeom prst="roundRect">
          <a:avLst/>
        </a:prstGeom>
        <a:solidFill>
          <a:schemeClr val="accent1"/>
        </a:solidFill>
        <a:effectLst>
          <a:outerShdw sx="1000" sy="1000" algn="ctr" rotWithShape="0">
            <a:srgbClr val="000000"/>
          </a:outerShdw>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GB" sz="1100" b="1"/>
            <a:t>Import</a:t>
          </a:r>
          <a:r>
            <a:rPr lang="en-GB" sz="1100" b="1" baseline="0"/>
            <a:t> XML</a:t>
          </a:r>
          <a:endParaRPr lang="en-GB" sz="11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95249</xdr:colOff>
      <xdr:row>6</xdr:row>
      <xdr:rowOff>84040</xdr:rowOff>
    </xdr:from>
    <xdr:to>
      <xdr:col>4</xdr:col>
      <xdr:colOff>851249</xdr:colOff>
      <xdr:row>6</xdr:row>
      <xdr:rowOff>312640</xdr:rowOff>
    </xdr:to>
    <xdr:sp macro="[0]!home" textlink="">
      <xdr:nvSpPr>
        <xdr:cNvPr id="2" name="Rounded Rectangle 1"/>
        <xdr:cNvSpPr/>
      </xdr:nvSpPr>
      <xdr:spPr>
        <a:xfrm>
          <a:off x="723899" y="84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933449</xdr:colOff>
      <xdr:row>6</xdr:row>
      <xdr:rowOff>76200</xdr:rowOff>
    </xdr:from>
    <xdr:to>
      <xdr:col>4</xdr:col>
      <xdr:colOff>1689449</xdr:colOff>
      <xdr:row>6</xdr:row>
      <xdr:rowOff>304800</xdr:rowOff>
    </xdr:to>
    <xdr:sp macro="[0]!'ValidateDeclaration 1'" textlink="">
      <xdr:nvSpPr>
        <xdr:cNvPr id="3" name="Rounded Rectangle 2"/>
        <xdr:cNvSpPr/>
      </xdr:nvSpPr>
      <xdr:spPr>
        <a:xfrm>
          <a:off x="1562099" y="762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471772</xdr:colOff>
      <xdr:row>5</xdr:row>
      <xdr:rowOff>85725</xdr:rowOff>
    </xdr:from>
    <xdr:to>
      <xdr:col>5</xdr:col>
      <xdr:colOff>637222</xdr:colOff>
      <xdr:row>6</xdr:row>
      <xdr:rowOff>125625</xdr:rowOff>
    </xdr:to>
    <xdr:sp macro="[0]!home" textlink="">
      <xdr:nvSpPr>
        <xdr:cNvPr id="2" name="Rounded Rectangle 1"/>
        <xdr:cNvSpPr/>
      </xdr:nvSpPr>
      <xdr:spPr>
        <a:xfrm>
          <a:off x="639860" y="85725"/>
          <a:ext cx="647303"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17079</xdr:colOff>
      <xdr:row>6</xdr:row>
      <xdr:rowOff>65836</xdr:rowOff>
    </xdr:from>
    <xdr:to>
      <xdr:col>5</xdr:col>
      <xdr:colOff>773079</xdr:colOff>
      <xdr:row>7</xdr:row>
      <xdr:rowOff>105736</xdr:rowOff>
    </xdr:to>
    <xdr:sp macro="[0]!home" textlink="">
      <xdr:nvSpPr>
        <xdr:cNvPr id="2" name="Rounded Rectangle 1"/>
        <xdr:cNvSpPr/>
      </xdr:nvSpPr>
      <xdr:spPr>
        <a:xfrm>
          <a:off x="85051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875729</xdr:colOff>
      <xdr:row>6</xdr:row>
      <xdr:rowOff>65836</xdr:rowOff>
    </xdr:from>
    <xdr:to>
      <xdr:col>5</xdr:col>
      <xdr:colOff>1631729</xdr:colOff>
      <xdr:row>7</xdr:row>
      <xdr:rowOff>105736</xdr:rowOff>
    </xdr:to>
    <xdr:sp macro="[0]!'validateShareHolderPattern 1'" textlink="">
      <xdr:nvSpPr>
        <xdr:cNvPr id="3" name="Rounded Rectangle 2"/>
        <xdr:cNvSpPr/>
      </xdr:nvSpPr>
      <xdr:spPr>
        <a:xfrm>
          <a:off x="170916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13</xdr:col>
      <xdr:colOff>132379</xdr:colOff>
      <xdr:row>58</xdr:row>
      <xdr:rowOff>59530</xdr:rowOff>
    </xdr:from>
    <xdr:to>
      <xdr:col>14</xdr:col>
      <xdr:colOff>965818</xdr:colOff>
      <xdr:row>58</xdr:row>
      <xdr:rowOff>391583</xdr:rowOff>
    </xdr:to>
    <xdr:sp macro="[0]!opentextblock" textlink="">
      <xdr:nvSpPr>
        <xdr:cNvPr id="5" name="Rounded Rectangle 4"/>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59</xdr:row>
      <xdr:rowOff>59530</xdr:rowOff>
    </xdr:from>
    <xdr:to>
      <xdr:col>14</xdr:col>
      <xdr:colOff>965818</xdr:colOff>
      <xdr:row>59</xdr:row>
      <xdr:rowOff>391583</xdr:rowOff>
    </xdr:to>
    <xdr:sp macro="[0]!opentextblock" textlink="">
      <xdr:nvSpPr>
        <xdr:cNvPr id="6" name="Rounded Rectangle 5"/>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60</xdr:row>
      <xdr:rowOff>59530</xdr:rowOff>
    </xdr:from>
    <xdr:to>
      <xdr:col>14</xdr:col>
      <xdr:colOff>965818</xdr:colOff>
      <xdr:row>60</xdr:row>
      <xdr:rowOff>391583</xdr:rowOff>
    </xdr:to>
    <xdr:sp macro="[0]!opentextblock" textlink="">
      <xdr:nvSpPr>
        <xdr:cNvPr id="7" name="Rounded Rectangle 6"/>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61</xdr:row>
      <xdr:rowOff>59530</xdr:rowOff>
    </xdr:from>
    <xdr:to>
      <xdr:col>14</xdr:col>
      <xdr:colOff>965818</xdr:colOff>
      <xdr:row>61</xdr:row>
      <xdr:rowOff>391583</xdr:rowOff>
    </xdr:to>
    <xdr:sp macro="[0]!opentextblock" textlink="">
      <xdr:nvSpPr>
        <xdr:cNvPr id="8" name="Rounded Rectangle 7"/>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10589</xdr:colOff>
      <xdr:row>13</xdr:row>
      <xdr:rowOff>57150</xdr:rowOff>
    </xdr:from>
    <xdr:to>
      <xdr:col>5</xdr:col>
      <xdr:colOff>622589</xdr:colOff>
      <xdr:row>13</xdr:row>
      <xdr:rowOff>265628</xdr:rowOff>
    </xdr:to>
    <xdr:sp macro="[0]!Add_Rows" textlink="">
      <xdr:nvSpPr>
        <xdr:cNvPr id="2" name="Rounded Rectangle 1"/>
        <xdr:cNvSpPr/>
      </xdr:nvSpPr>
      <xdr:spPr>
        <a:xfrm>
          <a:off x="660530" y="2656915"/>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715576</xdr:colOff>
      <xdr:row>13</xdr:row>
      <xdr:rowOff>60463</xdr:rowOff>
    </xdr:from>
    <xdr:to>
      <xdr:col>5</xdr:col>
      <xdr:colOff>1327576</xdr:colOff>
      <xdr:row>13</xdr:row>
      <xdr:rowOff>268941</xdr:rowOff>
    </xdr:to>
    <xdr:sp macro="[0]!'Del_Form 1'" textlink="">
      <xdr:nvSpPr>
        <xdr:cNvPr id="3" name="Rounded Rectangle 2"/>
        <xdr:cNvSpPr/>
      </xdr:nvSpPr>
      <xdr:spPr>
        <a:xfrm>
          <a:off x="1365517" y="2660228"/>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17995</xdr:colOff>
      <xdr:row>6</xdr:row>
      <xdr:rowOff>84661</xdr:rowOff>
    </xdr:from>
    <xdr:to>
      <xdr:col>5</xdr:col>
      <xdr:colOff>773995</xdr:colOff>
      <xdr:row>7</xdr:row>
      <xdr:rowOff>124561</xdr:rowOff>
    </xdr:to>
    <xdr:sp macro="[0]!home" textlink="">
      <xdr:nvSpPr>
        <xdr:cNvPr id="5" name="Rounded Rectangle 4"/>
        <xdr:cNvSpPr/>
      </xdr:nvSpPr>
      <xdr:spPr>
        <a:xfrm>
          <a:off x="663578" y="465661"/>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854076</xdr:colOff>
      <xdr:row>6</xdr:row>
      <xdr:rowOff>87404</xdr:rowOff>
    </xdr:from>
    <xdr:to>
      <xdr:col>5</xdr:col>
      <xdr:colOff>1610076</xdr:colOff>
      <xdr:row>7</xdr:row>
      <xdr:rowOff>127304</xdr:rowOff>
    </xdr:to>
    <xdr:sp macro="[0]!'ValidatePPG 1'" textlink="">
      <xdr:nvSpPr>
        <xdr:cNvPr id="6" name="Rounded Rectangle 5"/>
        <xdr:cNvSpPr/>
      </xdr:nvSpPr>
      <xdr:spPr>
        <a:xfrm>
          <a:off x="1499659" y="468404"/>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180976</xdr:colOff>
      <xdr:row>13</xdr:row>
      <xdr:rowOff>66677</xdr:rowOff>
    </xdr:from>
    <xdr:to>
      <xdr:col>5</xdr:col>
      <xdr:colOff>657226</xdr:colOff>
      <xdr:row>13</xdr:row>
      <xdr:rowOff>247651</xdr:rowOff>
    </xdr:to>
    <xdr:sp macro="[0]!Add_Rows" textlink="">
      <xdr:nvSpPr>
        <xdr:cNvPr id="2" name="Rounded Rectangle 1"/>
        <xdr:cNvSpPr/>
      </xdr:nvSpPr>
      <xdr:spPr>
        <a:xfrm>
          <a:off x="3228976" y="3438527"/>
          <a:ext cx="476250" cy="18097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100"/>
            <a:t>Add</a:t>
          </a:r>
        </a:p>
      </xdr:txBody>
    </xdr:sp>
    <xdr:clientData/>
  </xdr:twoCellAnchor>
  <xdr:twoCellAnchor>
    <xdr:from>
      <xdr:col>5</xdr:col>
      <xdr:colOff>704849</xdr:colOff>
      <xdr:row>13</xdr:row>
      <xdr:rowOff>66675</xdr:rowOff>
    </xdr:from>
    <xdr:to>
      <xdr:col>6</xdr:col>
      <xdr:colOff>371475</xdr:colOff>
      <xdr:row>13</xdr:row>
      <xdr:rowOff>247650</xdr:rowOff>
    </xdr:to>
    <xdr:sp macro="[0]!'Del_Form 1'" textlink="">
      <xdr:nvSpPr>
        <xdr:cNvPr id="3" name="Rounded Rectangle 2"/>
        <xdr:cNvSpPr/>
      </xdr:nvSpPr>
      <xdr:spPr>
        <a:xfrm>
          <a:off x="3752849" y="3438525"/>
          <a:ext cx="600076" cy="18097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100"/>
            <a:t>Delete</a:t>
          </a:r>
        </a:p>
      </xdr:txBody>
    </xdr:sp>
    <xdr:clientData/>
  </xdr:twoCellAnchor>
  <xdr:twoCellAnchor>
    <xdr:from>
      <xdr:col>5</xdr:col>
      <xdr:colOff>180975</xdr:colOff>
      <xdr:row>6</xdr:row>
      <xdr:rowOff>104775</xdr:rowOff>
    </xdr:from>
    <xdr:to>
      <xdr:col>5</xdr:col>
      <xdr:colOff>790575</xdr:colOff>
      <xdr:row>7</xdr:row>
      <xdr:rowOff>123825</xdr:rowOff>
    </xdr:to>
    <xdr:sp macro="[0]!home" textlink="">
      <xdr:nvSpPr>
        <xdr:cNvPr id="4" name="Rounded Rectangle 3"/>
        <xdr:cNvSpPr/>
      </xdr:nvSpPr>
      <xdr:spPr>
        <a:xfrm>
          <a:off x="3228975" y="1247775"/>
          <a:ext cx="609600" cy="20955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100"/>
            <a:t>Home</a:t>
          </a:r>
        </a:p>
      </xdr:txBody>
    </xdr:sp>
    <xdr:clientData/>
  </xdr:twoCellAnchor>
  <xdr:twoCellAnchor>
    <xdr:from>
      <xdr:col>5</xdr:col>
      <xdr:colOff>857251</xdr:colOff>
      <xdr:row>6</xdr:row>
      <xdr:rowOff>104775</xdr:rowOff>
    </xdr:from>
    <xdr:to>
      <xdr:col>6</xdr:col>
      <xdr:colOff>609601</xdr:colOff>
      <xdr:row>7</xdr:row>
      <xdr:rowOff>133350</xdr:rowOff>
    </xdr:to>
    <xdr:sp macro="[0]!'ValidateSBO 1'" textlink="">
      <xdr:nvSpPr>
        <xdr:cNvPr id="5" name="Rounded Rectangle 4"/>
        <xdr:cNvSpPr/>
      </xdr:nvSpPr>
      <xdr:spPr>
        <a:xfrm>
          <a:off x="3905251" y="1247775"/>
          <a:ext cx="685800" cy="21907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100"/>
            <a:t>Validate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7845</xdr:colOff>
      <xdr:row>13</xdr:row>
      <xdr:rowOff>57150</xdr:rowOff>
    </xdr:from>
    <xdr:to>
      <xdr:col>5</xdr:col>
      <xdr:colOff>619845</xdr:colOff>
      <xdr:row>13</xdr:row>
      <xdr:rowOff>264214</xdr:rowOff>
    </xdr:to>
    <xdr:sp macro="[0]!Add_Rows" textlink="">
      <xdr:nvSpPr>
        <xdr:cNvPr id="2" name="Rounded Rectangle 1"/>
        <xdr:cNvSpPr/>
      </xdr:nvSpPr>
      <xdr:spPr>
        <a:xfrm>
          <a:off x="1094816" y="3026709"/>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709723</xdr:colOff>
      <xdr:row>13</xdr:row>
      <xdr:rowOff>60463</xdr:rowOff>
    </xdr:from>
    <xdr:to>
      <xdr:col>5</xdr:col>
      <xdr:colOff>1321723</xdr:colOff>
      <xdr:row>13</xdr:row>
      <xdr:rowOff>267527</xdr:rowOff>
    </xdr:to>
    <xdr:sp macro="[0]!'Del_Form 1'" textlink="">
      <xdr:nvSpPr>
        <xdr:cNvPr id="3" name="Rounded Rectangle 2"/>
        <xdr:cNvSpPr/>
      </xdr:nvSpPr>
      <xdr:spPr>
        <a:xfrm>
          <a:off x="1796694" y="3030022"/>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22416</xdr:colOff>
      <xdr:row>6</xdr:row>
      <xdr:rowOff>52660</xdr:rowOff>
    </xdr:from>
    <xdr:to>
      <xdr:col>5</xdr:col>
      <xdr:colOff>778416</xdr:colOff>
      <xdr:row>7</xdr:row>
      <xdr:rowOff>90760</xdr:rowOff>
    </xdr:to>
    <xdr:sp macro="[0]!home" textlink="">
      <xdr:nvSpPr>
        <xdr:cNvPr id="5" name="Rounded Rectangle 4"/>
        <xdr:cNvSpPr/>
      </xdr:nvSpPr>
      <xdr:spPr>
        <a:xfrm>
          <a:off x="1109387" y="4336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867342</xdr:colOff>
      <xdr:row>6</xdr:row>
      <xdr:rowOff>44820</xdr:rowOff>
    </xdr:from>
    <xdr:to>
      <xdr:col>5</xdr:col>
      <xdr:colOff>1623342</xdr:colOff>
      <xdr:row>7</xdr:row>
      <xdr:rowOff>82920</xdr:rowOff>
    </xdr:to>
    <xdr:sp macro="[0]!'ValidatePPG 1'" textlink="">
      <xdr:nvSpPr>
        <xdr:cNvPr id="6" name="Rounded Rectangle 5"/>
        <xdr:cNvSpPr/>
      </xdr:nvSpPr>
      <xdr:spPr>
        <a:xfrm>
          <a:off x="1954313" y="42582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264214</xdr:rowOff>
    </xdr:to>
    <xdr:sp macro="[0]!Add_Rows" textlink="">
      <xdr:nvSpPr>
        <xdr:cNvPr id="2" name="Rounded Rectangle 1"/>
        <xdr:cNvSpPr/>
      </xdr:nvSpPr>
      <xdr:spPr>
        <a:xfrm>
          <a:off x="101917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725969</xdr:colOff>
      <xdr:row>13</xdr:row>
      <xdr:rowOff>57150</xdr:rowOff>
    </xdr:from>
    <xdr:to>
      <xdr:col>5</xdr:col>
      <xdr:colOff>1335570</xdr:colOff>
      <xdr:row>13</xdr:row>
      <xdr:rowOff>267527</xdr:rowOff>
    </xdr:to>
    <xdr:sp macro="[0]!'Del_Form 1'" textlink="">
      <xdr:nvSpPr>
        <xdr:cNvPr id="3" name="Rounded Rectangle 2"/>
        <xdr:cNvSpPr/>
      </xdr:nvSpPr>
      <xdr:spPr>
        <a:xfrm>
          <a:off x="1707044"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57149</xdr:colOff>
      <xdr:row>6</xdr:row>
      <xdr:rowOff>74515</xdr:rowOff>
    </xdr:from>
    <xdr:to>
      <xdr:col>5</xdr:col>
      <xdr:colOff>813149</xdr:colOff>
      <xdr:row>7</xdr:row>
      <xdr:rowOff>112615</xdr:rowOff>
    </xdr:to>
    <xdr:sp macro="[0]!home" textlink="">
      <xdr:nvSpPr>
        <xdr:cNvPr id="7" name="Rounded Rectangle 6"/>
        <xdr:cNvSpPr/>
      </xdr:nvSpPr>
      <xdr:spPr>
        <a:xfrm>
          <a:off x="1038224" y="26501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904874</xdr:colOff>
      <xdr:row>6</xdr:row>
      <xdr:rowOff>66675</xdr:rowOff>
    </xdr:from>
    <xdr:to>
      <xdr:col>5</xdr:col>
      <xdr:colOff>1660874</xdr:colOff>
      <xdr:row>7</xdr:row>
      <xdr:rowOff>104775</xdr:rowOff>
    </xdr:to>
    <xdr:sp macro="[0]!'ValidatePPG 1'" textlink="">
      <xdr:nvSpPr>
        <xdr:cNvPr id="8" name="Rounded Rectangle 7"/>
        <xdr:cNvSpPr/>
      </xdr:nvSpPr>
      <xdr:spPr>
        <a:xfrm>
          <a:off x="1885949" y="25717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116417</xdr:colOff>
      <xdr:row>13</xdr:row>
      <xdr:rowOff>59262</xdr:rowOff>
    </xdr:from>
    <xdr:to>
      <xdr:col>4</xdr:col>
      <xdr:colOff>736623</xdr:colOff>
      <xdr:row>13</xdr:row>
      <xdr:rowOff>260345</xdr:rowOff>
    </xdr:to>
    <xdr:sp macro="[0]!Add_Rows" textlink="">
      <xdr:nvSpPr>
        <xdr:cNvPr id="6" name="Rounded Rectangle 5"/>
        <xdr:cNvSpPr/>
      </xdr:nvSpPr>
      <xdr:spPr>
        <a:xfrm>
          <a:off x="910167" y="2683929"/>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861465</xdr:colOff>
      <xdr:row>13</xdr:row>
      <xdr:rowOff>63500</xdr:rowOff>
    </xdr:from>
    <xdr:to>
      <xdr:col>4</xdr:col>
      <xdr:colOff>1481671</xdr:colOff>
      <xdr:row>13</xdr:row>
      <xdr:rowOff>264583</xdr:rowOff>
    </xdr:to>
    <xdr:sp macro="[0]!'Del_Form 1'" textlink="">
      <xdr:nvSpPr>
        <xdr:cNvPr id="7" name="Rounded Rectangle 6"/>
        <xdr:cNvSpPr/>
      </xdr:nvSpPr>
      <xdr:spPr>
        <a:xfrm>
          <a:off x="1655215" y="2688167"/>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179918</xdr:colOff>
      <xdr:row>6</xdr:row>
      <xdr:rowOff>95250</xdr:rowOff>
    </xdr:from>
    <xdr:to>
      <xdr:col>4</xdr:col>
      <xdr:colOff>1001214</xdr:colOff>
      <xdr:row>7</xdr:row>
      <xdr:rowOff>122762</xdr:rowOff>
    </xdr:to>
    <xdr:sp macro="[0]!home" textlink="">
      <xdr:nvSpPr>
        <xdr:cNvPr id="8" name="Rounded Rectangle 7"/>
        <xdr:cNvSpPr/>
      </xdr:nvSpPr>
      <xdr:spPr>
        <a:xfrm>
          <a:off x="973668" y="95250"/>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Home</a:t>
          </a:r>
        </a:p>
      </xdr:txBody>
    </xdr:sp>
    <xdr:clientData/>
  </xdr:twoCellAnchor>
  <xdr:twoCellAnchor>
    <xdr:from>
      <xdr:col>4</xdr:col>
      <xdr:colOff>1126043</xdr:colOff>
      <xdr:row>6</xdr:row>
      <xdr:rowOff>99488</xdr:rowOff>
    </xdr:from>
    <xdr:to>
      <xdr:col>4</xdr:col>
      <xdr:colOff>1947339</xdr:colOff>
      <xdr:row>7</xdr:row>
      <xdr:rowOff>127000</xdr:rowOff>
    </xdr:to>
    <xdr:sp macro="[0]!'OtherIndFrn 1'" textlink="">
      <xdr:nvSpPr>
        <xdr:cNvPr id="9" name="Rounded Rectangle 8"/>
        <xdr:cNvSpPr/>
      </xdr:nvSpPr>
      <xdr:spPr>
        <a:xfrm>
          <a:off x="1919793" y="99488"/>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Validate</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xdr:cNvSpPr/>
      </xdr:nvSpPr>
      <xdr:spPr>
        <a:xfrm>
          <a:off x="1009649" y="2745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123825</xdr:rowOff>
    </xdr:to>
    <xdr:sp macro="[0]!'ValidatePPG 1'" textlink="">
      <xdr:nvSpPr>
        <xdr:cNvPr id="5" name="Rounded Rectangle 4"/>
        <xdr:cNvSpPr/>
      </xdr:nvSpPr>
      <xdr:spPr>
        <a:xfrm>
          <a:off x="184784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265950</xdr:rowOff>
    </xdr:to>
    <xdr:sp macro="[0]!Add_Rows" textlink="">
      <xdr:nvSpPr>
        <xdr:cNvPr id="2" name="Rounded Rectangle 1"/>
        <xdr:cNvSpPr/>
      </xdr:nvSpPr>
      <xdr:spPr>
        <a:xfrm>
          <a:off x="1028699"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3" name="Rounded Rectangle 2"/>
        <xdr:cNvSpPr/>
      </xdr:nvSpPr>
      <xdr:spPr>
        <a:xfrm>
          <a:off x="1716568"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xdr:cNvSpPr/>
      </xdr:nvSpPr>
      <xdr:spPr>
        <a:xfrm>
          <a:off x="1009649" y="465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xdr:cNvSpPr/>
      </xdr:nvSpPr>
      <xdr:spPr>
        <a:xfrm>
          <a:off x="1866899" y="4667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745018</xdr:colOff>
      <xdr:row>13</xdr:row>
      <xdr:rowOff>57150</xdr:rowOff>
    </xdr:from>
    <xdr:to>
      <xdr:col>5</xdr:col>
      <xdr:colOff>1357018</xdr:colOff>
      <xdr:row>13</xdr:row>
      <xdr:rowOff>265950</xdr:rowOff>
    </xdr:to>
    <xdr:sp macro="[0]!'Del_Form 1'" textlink="">
      <xdr:nvSpPr>
        <xdr:cNvPr id="3" name="Rounded Rectangle 2"/>
        <xdr:cNvSpPr/>
      </xdr:nvSpPr>
      <xdr:spPr>
        <a:xfrm>
          <a:off x="17260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xdr:cNvSpPr/>
      </xdr:nvSpPr>
      <xdr:spPr>
        <a:xfrm>
          <a:off x="186689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123825</xdr:rowOff>
    </xdr:to>
    <xdr:sp macro="[0]!'ValidatePPG 1'" textlink="">
      <xdr:nvSpPr>
        <xdr:cNvPr id="5" name="Rounded Rectangle 4"/>
        <xdr:cNvSpPr/>
      </xdr:nvSpPr>
      <xdr:spPr>
        <a:xfrm>
          <a:off x="1857374"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282579</xdr:colOff>
      <xdr:row>13</xdr:row>
      <xdr:rowOff>57150</xdr:rowOff>
    </xdr:from>
    <xdr:to>
      <xdr:col>4</xdr:col>
      <xdr:colOff>894579</xdr:colOff>
      <xdr:row>13</xdr:row>
      <xdr:rowOff>264214</xdr:rowOff>
    </xdr:to>
    <xdr:sp macro="[0]!Add_Rows" textlink="">
      <xdr:nvSpPr>
        <xdr:cNvPr id="2" name="Rounded Rectangle 1"/>
        <xdr:cNvSpPr/>
      </xdr:nvSpPr>
      <xdr:spPr>
        <a:xfrm>
          <a:off x="136207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999023</xdr:colOff>
      <xdr:row>13</xdr:row>
      <xdr:rowOff>60463</xdr:rowOff>
    </xdr:from>
    <xdr:to>
      <xdr:col>4</xdr:col>
      <xdr:colOff>1611023</xdr:colOff>
      <xdr:row>13</xdr:row>
      <xdr:rowOff>267527</xdr:rowOff>
    </xdr:to>
    <xdr:sp macro="[0]!'Del_Form 1'" textlink="">
      <xdr:nvSpPr>
        <xdr:cNvPr id="3" name="Rounded Rectangle 2"/>
        <xdr:cNvSpPr/>
      </xdr:nvSpPr>
      <xdr:spPr>
        <a:xfrm>
          <a:off x="207852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187326</xdr:colOff>
      <xdr:row>6</xdr:row>
      <xdr:rowOff>76200</xdr:rowOff>
    </xdr:from>
    <xdr:to>
      <xdr:col>4</xdr:col>
      <xdr:colOff>943326</xdr:colOff>
      <xdr:row>7</xdr:row>
      <xdr:rowOff>116100</xdr:rowOff>
    </xdr:to>
    <xdr:sp macro="[0]!home" textlink="">
      <xdr:nvSpPr>
        <xdr:cNvPr id="4" name="Rounded Rectangle 3"/>
        <xdr:cNvSpPr/>
      </xdr:nvSpPr>
      <xdr:spPr>
        <a:xfrm>
          <a:off x="1266826"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1035051</xdr:colOff>
      <xdr:row>6</xdr:row>
      <xdr:rowOff>76200</xdr:rowOff>
    </xdr:from>
    <xdr:to>
      <xdr:col>4</xdr:col>
      <xdr:colOff>1791051</xdr:colOff>
      <xdr:row>7</xdr:row>
      <xdr:rowOff>116100</xdr:rowOff>
    </xdr:to>
    <xdr:sp macro="[0]!'OtherIndFrn 1'" textlink="">
      <xdr:nvSpPr>
        <xdr:cNvPr id="5" name="Rounded Rectangle 4"/>
        <xdr:cNvSpPr/>
      </xdr:nvSpPr>
      <xdr:spPr>
        <a:xfrm>
          <a:off x="2114551"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264214</xdr:rowOff>
    </xdr:to>
    <xdr:sp macro="[0]!Add_Rows" textlink="">
      <xdr:nvSpPr>
        <xdr:cNvPr id="2" name="Rounded Rectangle 1"/>
        <xdr:cNvSpPr/>
      </xdr:nvSpPr>
      <xdr:spPr>
        <a:xfrm>
          <a:off x="102869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754544</xdr:colOff>
      <xdr:row>13</xdr:row>
      <xdr:rowOff>57150</xdr:rowOff>
    </xdr:from>
    <xdr:to>
      <xdr:col>5</xdr:col>
      <xdr:colOff>1364145</xdr:colOff>
      <xdr:row>13</xdr:row>
      <xdr:rowOff>267527</xdr:rowOff>
    </xdr:to>
    <xdr:sp macro="[0]!'Del_Form 1'" textlink="">
      <xdr:nvSpPr>
        <xdr:cNvPr id="3" name="Rounded Rectangle 2"/>
        <xdr:cNvSpPr/>
      </xdr:nvSpPr>
      <xdr:spPr>
        <a:xfrm>
          <a:off x="173561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95250</xdr:rowOff>
    </xdr:from>
    <xdr:to>
      <xdr:col>5</xdr:col>
      <xdr:colOff>765524</xdr:colOff>
      <xdr:row>7</xdr:row>
      <xdr:rowOff>141190</xdr:rowOff>
    </xdr:to>
    <xdr:sp macro="[0]!home" textlink="">
      <xdr:nvSpPr>
        <xdr:cNvPr id="4" name="Rounded Rectangle 3"/>
        <xdr:cNvSpPr/>
      </xdr:nvSpPr>
      <xdr:spPr>
        <a:xfrm>
          <a:off x="990599" y="285750"/>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95250</xdr:rowOff>
    </xdr:from>
    <xdr:to>
      <xdr:col>5</xdr:col>
      <xdr:colOff>1609725</xdr:colOff>
      <xdr:row>7</xdr:row>
      <xdr:rowOff>133350</xdr:rowOff>
    </xdr:to>
    <xdr:sp macro="[0]!'ValidateRestSheet 1'" textlink="">
      <xdr:nvSpPr>
        <xdr:cNvPr id="5" name="Rounded Rectangle 4"/>
        <xdr:cNvSpPr/>
      </xdr:nvSpPr>
      <xdr:spPr>
        <a:xfrm>
          <a:off x="1838325"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xdr:cNvSpPr/>
      </xdr:nvSpPr>
      <xdr:spPr>
        <a:xfrm>
          <a:off x="170704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125625</xdr:rowOff>
    </xdr:to>
    <xdr:sp macro="[0]!home" textlink="">
      <xdr:nvSpPr>
        <xdr:cNvPr id="4" name="Rounded Rectangle 3"/>
        <xdr:cNvSpPr/>
      </xdr:nvSpPr>
      <xdr:spPr>
        <a:xfrm>
          <a:off x="100012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125625</xdr:rowOff>
    </xdr:to>
    <xdr:sp macro="[0]!'ValidateRestSheet 1'" textlink="">
      <xdr:nvSpPr>
        <xdr:cNvPr id="5" name="Rounded Rectangle 4"/>
        <xdr:cNvSpPr/>
      </xdr:nvSpPr>
      <xdr:spPr>
        <a:xfrm>
          <a:off x="18573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4" name="Rounded Rectangle 3"/>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5" name="Rounded Rectangle 4"/>
        <xdr:cNvSpPr/>
      </xdr:nvSpPr>
      <xdr:spPr>
        <a:xfrm>
          <a:off x="171656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6" name="Rounded Rectangle 5"/>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76200</xdr:rowOff>
    </xdr:from>
    <xdr:to>
      <xdr:col>5</xdr:col>
      <xdr:colOff>1641824</xdr:colOff>
      <xdr:row>7</xdr:row>
      <xdr:rowOff>116100</xdr:rowOff>
    </xdr:to>
    <xdr:sp macro="[0]!'ValidateRestSheet 1'" textlink="">
      <xdr:nvSpPr>
        <xdr:cNvPr id="7" name="Rounded Rectangle 6"/>
        <xdr:cNvSpPr/>
      </xdr:nvSpPr>
      <xdr:spPr>
        <a:xfrm>
          <a:off x="18668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93565</xdr:rowOff>
    </xdr:from>
    <xdr:to>
      <xdr:col>5</xdr:col>
      <xdr:colOff>765524</xdr:colOff>
      <xdr:row>7</xdr:row>
      <xdr:rowOff>131665</xdr:rowOff>
    </xdr:to>
    <xdr:sp macro="[0]!home" textlink="">
      <xdr:nvSpPr>
        <xdr:cNvPr id="4" name="Rounded Rectangle 3"/>
        <xdr:cNvSpPr/>
      </xdr:nvSpPr>
      <xdr:spPr>
        <a:xfrm>
          <a:off x="99059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95250</xdr:rowOff>
    </xdr:from>
    <xdr:to>
      <xdr:col>5</xdr:col>
      <xdr:colOff>1600200</xdr:colOff>
      <xdr:row>7</xdr:row>
      <xdr:rowOff>133350</xdr:rowOff>
    </xdr:to>
    <xdr:sp macro="[0]!'ValidateRestSheet 1'" textlink="">
      <xdr:nvSpPr>
        <xdr:cNvPr id="5" name="Rounded Rectangle 4"/>
        <xdr:cNvSpPr/>
      </xdr:nvSpPr>
      <xdr:spPr>
        <a:xfrm>
          <a:off x="182880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xdr:cNvSpPr/>
      </xdr:nvSpPr>
      <xdr:spPr>
        <a:xfrm>
          <a:off x="168799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76200</xdr:rowOff>
    </xdr:from>
    <xdr:to>
      <xdr:col>5</xdr:col>
      <xdr:colOff>1622774</xdr:colOff>
      <xdr:row>7</xdr:row>
      <xdr:rowOff>116100</xdr:rowOff>
    </xdr:to>
    <xdr:sp macro="[0]!'ValidateRestSheet 1'" textlink="">
      <xdr:nvSpPr>
        <xdr:cNvPr id="5" name="Rounded Rectangle 4"/>
        <xdr:cNvSpPr/>
      </xdr:nvSpPr>
      <xdr:spPr>
        <a:xfrm>
          <a:off x="18478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xdr:cNvSpPr/>
      </xdr:nvSpPr>
      <xdr:spPr>
        <a:xfrm>
          <a:off x="1000124"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xdr:cNvSpPr/>
      </xdr:nvSpPr>
      <xdr:spPr>
        <a:xfrm>
          <a:off x="167846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131665</xdr:rowOff>
    </xdr:to>
    <xdr:sp macro="[0]!home" textlink="">
      <xdr:nvSpPr>
        <xdr:cNvPr id="4" name="Rounded Rectangle 3"/>
        <xdr:cNvSpPr/>
      </xdr:nvSpPr>
      <xdr:spPr>
        <a:xfrm>
          <a:off x="1000124" y="276225"/>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866775</xdr:colOff>
      <xdr:row>6</xdr:row>
      <xdr:rowOff>95250</xdr:rowOff>
    </xdr:from>
    <xdr:to>
      <xdr:col>5</xdr:col>
      <xdr:colOff>1619250</xdr:colOff>
      <xdr:row>7</xdr:row>
      <xdr:rowOff>133350</xdr:rowOff>
    </xdr:to>
    <xdr:sp macro="[0]!'ValidateRestSheet 1'" textlink="">
      <xdr:nvSpPr>
        <xdr:cNvPr id="5" name="Rounded Rectangle 4"/>
        <xdr:cNvSpPr/>
      </xdr:nvSpPr>
      <xdr:spPr>
        <a:xfrm>
          <a:off x="184785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xdr:cNvSpPr/>
      </xdr:nvSpPr>
      <xdr:spPr>
        <a:xfrm>
          <a:off x="10191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4</xdr:col>
      <xdr:colOff>72039</xdr:colOff>
      <xdr:row>13</xdr:row>
      <xdr:rowOff>57150</xdr:rowOff>
    </xdr:from>
    <xdr:to>
      <xdr:col>4</xdr:col>
      <xdr:colOff>684039</xdr:colOff>
      <xdr:row>13</xdr:row>
      <xdr:rowOff>264214</xdr:rowOff>
    </xdr:to>
    <xdr:sp macro="[0]!Add_Rows" textlink="">
      <xdr:nvSpPr>
        <xdr:cNvPr id="2" name="Rounded Rectangle 1"/>
        <xdr:cNvSpPr/>
      </xdr:nvSpPr>
      <xdr:spPr>
        <a:xfrm>
          <a:off x="982206" y="311573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759908</xdr:colOff>
      <xdr:row>13</xdr:row>
      <xdr:rowOff>60463</xdr:rowOff>
    </xdr:from>
    <xdr:to>
      <xdr:col>4</xdr:col>
      <xdr:colOff>1371908</xdr:colOff>
      <xdr:row>13</xdr:row>
      <xdr:rowOff>267527</xdr:rowOff>
    </xdr:to>
    <xdr:sp macro="[0]!'Del_Form 1'" textlink="">
      <xdr:nvSpPr>
        <xdr:cNvPr id="3" name="Rounded Rectangle 2"/>
        <xdr:cNvSpPr/>
      </xdr:nvSpPr>
      <xdr:spPr>
        <a:xfrm>
          <a:off x="1670075" y="3119046"/>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123827</xdr:colOff>
      <xdr:row>6</xdr:row>
      <xdr:rowOff>85725</xdr:rowOff>
    </xdr:from>
    <xdr:to>
      <xdr:col>4</xdr:col>
      <xdr:colOff>879827</xdr:colOff>
      <xdr:row>7</xdr:row>
      <xdr:rowOff>125625</xdr:rowOff>
    </xdr:to>
    <xdr:sp macro="[0]!home" textlink="">
      <xdr:nvSpPr>
        <xdr:cNvPr id="6" name="Rounded Rectangle 5"/>
        <xdr:cNvSpPr/>
      </xdr:nvSpPr>
      <xdr:spPr>
        <a:xfrm>
          <a:off x="103399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952503</xdr:colOff>
      <xdr:row>6</xdr:row>
      <xdr:rowOff>85725</xdr:rowOff>
    </xdr:from>
    <xdr:to>
      <xdr:col>4</xdr:col>
      <xdr:colOff>1704978</xdr:colOff>
      <xdr:row>7</xdr:row>
      <xdr:rowOff>123825</xdr:rowOff>
    </xdr:to>
    <xdr:sp macro="[0]!'OtherIntNonInt 1'" textlink="">
      <xdr:nvSpPr>
        <xdr:cNvPr id="7" name="Rounded Rectangle 6"/>
        <xdr:cNvSpPr/>
      </xdr:nvSpPr>
      <xdr:spPr>
        <a:xfrm>
          <a:off x="1862670" y="8572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xdr:cNvSpPr/>
      </xdr:nvSpPr>
      <xdr:spPr>
        <a:xfrm>
          <a:off x="104774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xdr:cNvSpPr/>
      </xdr:nvSpPr>
      <xdr:spPr>
        <a:xfrm>
          <a:off x="1745144" y="2841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xdr:cNvSpPr/>
      </xdr:nvSpPr>
      <xdr:spPr>
        <a:xfrm>
          <a:off x="106680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xdr:cNvSpPr/>
      </xdr:nvSpPr>
      <xdr:spPr>
        <a:xfrm>
          <a:off x="188595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76200</xdr:rowOff>
    </xdr:from>
    <xdr:to>
      <xdr:col>5</xdr:col>
      <xdr:colOff>1603724</xdr:colOff>
      <xdr:row>7</xdr:row>
      <xdr:rowOff>116100</xdr:rowOff>
    </xdr:to>
    <xdr:sp macro="[0]!'ValidateRestSheet 1'" textlink="">
      <xdr:nvSpPr>
        <xdr:cNvPr id="5" name="Rounded Rectangle 4"/>
        <xdr:cNvSpPr/>
      </xdr:nvSpPr>
      <xdr:spPr>
        <a:xfrm>
          <a:off x="18287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5</xdr:col>
      <xdr:colOff>28574</xdr:colOff>
      <xdr:row>13</xdr:row>
      <xdr:rowOff>47625</xdr:rowOff>
    </xdr:from>
    <xdr:to>
      <xdr:col>5</xdr:col>
      <xdr:colOff>640574</xdr:colOff>
      <xdr:row>13</xdr:row>
      <xdr:rowOff>254689</xdr:rowOff>
    </xdr:to>
    <xdr:sp macro="[0]!Add_Rows" textlink="">
      <xdr:nvSpPr>
        <xdr:cNvPr id="4" name="Rounded Rectangle 3"/>
        <xdr:cNvSpPr/>
      </xdr:nvSpPr>
      <xdr:spPr>
        <a:xfrm>
          <a:off x="1009649"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716444</xdr:colOff>
      <xdr:row>13</xdr:row>
      <xdr:rowOff>47625</xdr:rowOff>
    </xdr:from>
    <xdr:to>
      <xdr:col>5</xdr:col>
      <xdr:colOff>1326045</xdr:colOff>
      <xdr:row>13</xdr:row>
      <xdr:rowOff>258002</xdr:rowOff>
    </xdr:to>
    <xdr:sp macro="[0]!'Del_Form 1'" textlink="">
      <xdr:nvSpPr>
        <xdr:cNvPr id="5" name="Rounded Rectangle 4"/>
        <xdr:cNvSpPr/>
      </xdr:nvSpPr>
      <xdr:spPr>
        <a:xfrm>
          <a:off x="169751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93565</xdr:rowOff>
    </xdr:from>
    <xdr:to>
      <xdr:col>5</xdr:col>
      <xdr:colOff>775049</xdr:colOff>
      <xdr:row>7</xdr:row>
      <xdr:rowOff>131665</xdr:rowOff>
    </xdr:to>
    <xdr:sp macro="[0]!home" textlink="">
      <xdr:nvSpPr>
        <xdr:cNvPr id="6" name="Rounded Rectangle 5"/>
        <xdr:cNvSpPr/>
      </xdr:nvSpPr>
      <xdr:spPr>
        <a:xfrm>
          <a:off x="1000124"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857249</xdr:colOff>
      <xdr:row>6</xdr:row>
      <xdr:rowOff>95250</xdr:rowOff>
    </xdr:from>
    <xdr:to>
      <xdr:col>5</xdr:col>
      <xdr:colOff>1613249</xdr:colOff>
      <xdr:row>7</xdr:row>
      <xdr:rowOff>133350</xdr:rowOff>
    </xdr:to>
    <xdr:sp macro="[0]!'ValidateRestSheet 1'" textlink="">
      <xdr:nvSpPr>
        <xdr:cNvPr id="7" name="Rounded Rectangle 6"/>
        <xdr:cNvSpPr/>
      </xdr:nvSpPr>
      <xdr:spPr>
        <a:xfrm>
          <a:off x="1838324" y="28575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66675</xdr:rowOff>
    </xdr:from>
    <xdr:to>
      <xdr:col>5</xdr:col>
      <xdr:colOff>784574</xdr:colOff>
      <xdr:row>7</xdr:row>
      <xdr:rowOff>106575</xdr:rowOff>
    </xdr:to>
    <xdr:sp macro="[0]!home" textlink="">
      <xdr:nvSpPr>
        <xdr:cNvPr id="4" name="Rounded Rectangle 3"/>
        <xdr:cNvSpPr/>
      </xdr:nvSpPr>
      <xdr:spPr>
        <a:xfrm>
          <a:off x="10096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66675</xdr:rowOff>
    </xdr:from>
    <xdr:to>
      <xdr:col>5</xdr:col>
      <xdr:colOff>1622774</xdr:colOff>
      <xdr:row>7</xdr:row>
      <xdr:rowOff>106575</xdr:rowOff>
    </xdr:to>
    <xdr:sp macro="[0]!'ValidateRestSheet 1'" textlink="">
      <xdr:nvSpPr>
        <xdr:cNvPr id="5" name="Rounded Rectangle 4"/>
        <xdr:cNvSpPr/>
      </xdr:nvSpPr>
      <xdr:spPr>
        <a:xfrm>
          <a:off x="18478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5</xdr:col>
      <xdr:colOff>155572</xdr:colOff>
      <xdr:row>13</xdr:row>
      <xdr:rowOff>46568</xdr:rowOff>
    </xdr:from>
    <xdr:to>
      <xdr:col>5</xdr:col>
      <xdr:colOff>767572</xdr:colOff>
      <xdr:row>13</xdr:row>
      <xdr:rowOff>275165</xdr:rowOff>
    </xdr:to>
    <xdr:sp macro="[0]!Add_Rows" textlink="">
      <xdr:nvSpPr>
        <xdr:cNvPr id="2" name="Rounded Rectangle 1"/>
        <xdr:cNvSpPr/>
      </xdr:nvSpPr>
      <xdr:spPr>
        <a:xfrm>
          <a:off x="769405"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833916</xdr:colOff>
      <xdr:row>13</xdr:row>
      <xdr:rowOff>46568</xdr:rowOff>
    </xdr:from>
    <xdr:to>
      <xdr:col>5</xdr:col>
      <xdr:colOff>1445916</xdr:colOff>
      <xdr:row>13</xdr:row>
      <xdr:rowOff>275165</xdr:rowOff>
    </xdr:to>
    <xdr:sp macro="[0]!'Del_Form 1'" textlink="">
      <xdr:nvSpPr>
        <xdr:cNvPr id="3" name="Rounded Rectangle 2"/>
        <xdr:cNvSpPr/>
      </xdr:nvSpPr>
      <xdr:spPr>
        <a:xfrm>
          <a:off x="1447749"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4" name="Rounded Rectangle 3"/>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76200</xdr:rowOff>
    </xdr:from>
    <xdr:to>
      <xdr:col>5</xdr:col>
      <xdr:colOff>1609725</xdr:colOff>
      <xdr:row>7</xdr:row>
      <xdr:rowOff>114300</xdr:rowOff>
    </xdr:to>
    <xdr:sp macro="[0]!'ValidateRestSheet 1'" textlink="">
      <xdr:nvSpPr>
        <xdr:cNvPr id="5" name="Rounded Rectangle 4"/>
        <xdr:cNvSpPr/>
      </xdr:nvSpPr>
      <xdr:spPr>
        <a:xfrm>
          <a:off x="1838325" y="26670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xdr:cNvSpPr/>
      </xdr:nvSpPr>
      <xdr:spPr>
        <a:xfrm>
          <a:off x="100012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xdr:cNvSpPr/>
      </xdr:nvSpPr>
      <xdr:spPr>
        <a:xfrm>
          <a:off x="167846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125625</xdr:rowOff>
    </xdr:to>
    <xdr:sp macro="[0]!'ValidateRestSheet 1'" textlink="">
      <xdr:nvSpPr>
        <xdr:cNvPr id="5" name="Rounded Rectangle 4"/>
        <xdr:cNvSpPr/>
      </xdr:nvSpPr>
      <xdr:spPr>
        <a:xfrm>
          <a:off x="18478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4</xdr:col>
      <xdr:colOff>39232</xdr:colOff>
      <xdr:row>13</xdr:row>
      <xdr:rowOff>57150</xdr:rowOff>
    </xdr:from>
    <xdr:to>
      <xdr:col>4</xdr:col>
      <xdr:colOff>651232</xdr:colOff>
      <xdr:row>13</xdr:row>
      <xdr:rowOff>264214</xdr:rowOff>
    </xdr:to>
    <xdr:sp macro="[0]!Add_Rows" textlink="">
      <xdr:nvSpPr>
        <xdr:cNvPr id="2" name="Rounded Rectangle 1"/>
        <xdr:cNvSpPr/>
      </xdr:nvSpPr>
      <xdr:spPr>
        <a:xfrm>
          <a:off x="94939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717576</xdr:colOff>
      <xdr:row>13</xdr:row>
      <xdr:rowOff>60463</xdr:rowOff>
    </xdr:from>
    <xdr:to>
      <xdr:col>4</xdr:col>
      <xdr:colOff>1329576</xdr:colOff>
      <xdr:row>13</xdr:row>
      <xdr:rowOff>267527</xdr:rowOff>
    </xdr:to>
    <xdr:sp macro="[0]!'Del_Form 1'" textlink="">
      <xdr:nvSpPr>
        <xdr:cNvPr id="3" name="Rounded Rectangle 2"/>
        <xdr:cNvSpPr/>
      </xdr:nvSpPr>
      <xdr:spPr>
        <a:xfrm>
          <a:off x="162774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17008</xdr:colOff>
      <xdr:row>6</xdr:row>
      <xdr:rowOff>76200</xdr:rowOff>
    </xdr:from>
    <xdr:to>
      <xdr:col>4</xdr:col>
      <xdr:colOff>773008</xdr:colOff>
      <xdr:row>7</xdr:row>
      <xdr:rowOff>116100</xdr:rowOff>
    </xdr:to>
    <xdr:sp macro="[0]!home" textlink="">
      <xdr:nvSpPr>
        <xdr:cNvPr id="4" name="Rounded Rectangle 3"/>
        <xdr:cNvSpPr/>
      </xdr:nvSpPr>
      <xdr:spPr>
        <a:xfrm>
          <a:off x="927175"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883783</xdr:colOff>
      <xdr:row>6</xdr:row>
      <xdr:rowOff>76200</xdr:rowOff>
    </xdr:from>
    <xdr:to>
      <xdr:col>4</xdr:col>
      <xdr:colOff>1639783</xdr:colOff>
      <xdr:row>7</xdr:row>
      <xdr:rowOff>116100</xdr:rowOff>
    </xdr:to>
    <xdr:sp macro="[0]!'OtherIntNonInt 1'" textlink="">
      <xdr:nvSpPr>
        <xdr:cNvPr id="5" name="Rounded Rectangle 4"/>
        <xdr:cNvSpPr/>
      </xdr:nvSpPr>
      <xdr:spPr>
        <a:xfrm>
          <a:off x="1793950"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3</xdr:col>
      <xdr:colOff>49816</xdr:colOff>
      <xdr:row>13</xdr:row>
      <xdr:rowOff>57150</xdr:rowOff>
    </xdr:from>
    <xdr:to>
      <xdr:col>3</xdr:col>
      <xdr:colOff>661816</xdr:colOff>
      <xdr:row>13</xdr:row>
      <xdr:rowOff>265950</xdr:rowOff>
    </xdr:to>
    <xdr:sp macro="[0]!Add_Rows" textlink="">
      <xdr:nvSpPr>
        <xdr:cNvPr id="2" name="Rounded Rectangle 1"/>
        <xdr:cNvSpPr/>
      </xdr:nvSpPr>
      <xdr:spPr>
        <a:xfrm>
          <a:off x="663649"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3</xdr:col>
      <xdr:colOff>748267</xdr:colOff>
      <xdr:row>13</xdr:row>
      <xdr:rowOff>57150</xdr:rowOff>
    </xdr:from>
    <xdr:to>
      <xdr:col>3</xdr:col>
      <xdr:colOff>1360267</xdr:colOff>
      <xdr:row>13</xdr:row>
      <xdr:rowOff>265950</xdr:rowOff>
    </xdr:to>
    <xdr:sp macro="[0]!'Del_Form 1'" textlink="">
      <xdr:nvSpPr>
        <xdr:cNvPr id="3" name="Rounded Rectangle 2"/>
        <xdr:cNvSpPr/>
      </xdr:nvSpPr>
      <xdr:spPr>
        <a:xfrm>
          <a:off x="1362100"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3</xdr:col>
      <xdr:colOff>49816</xdr:colOff>
      <xdr:row>6</xdr:row>
      <xdr:rowOff>85725</xdr:rowOff>
    </xdr:from>
    <xdr:to>
      <xdr:col>3</xdr:col>
      <xdr:colOff>805816</xdr:colOff>
      <xdr:row>7</xdr:row>
      <xdr:rowOff>125625</xdr:rowOff>
    </xdr:to>
    <xdr:sp macro="[0]!home" textlink="">
      <xdr:nvSpPr>
        <xdr:cNvPr id="4" name="Rounded Rectangle 3"/>
        <xdr:cNvSpPr/>
      </xdr:nvSpPr>
      <xdr:spPr>
        <a:xfrm>
          <a:off x="66364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3</xdr:col>
      <xdr:colOff>888015</xdr:colOff>
      <xdr:row>6</xdr:row>
      <xdr:rowOff>85725</xdr:rowOff>
    </xdr:from>
    <xdr:to>
      <xdr:col>3</xdr:col>
      <xdr:colOff>1644015</xdr:colOff>
      <xdr:row>7</xdr:row>
      <xdr:rowOff>125625</xdr:rowOff>
    </xdr:to>
    <xdr:sp macro="[0]!'ValidateDRHolder 1'" textlink="">
      <xdr:nvSpPr>
        <xdr:cNvPr id="5" name="Rounded Rectangle 4"/>
        <xdr:cNvSpPr/>
      </xdr:nvSpPr>
      <xdr:spPr>
        <a:xfrm>
          <a:off x="1501848"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4</xdr:col>
      <xdr:colOff>51876</xdr:colOff>
      <xdr:row>13</xdr:row>
      <xdr:rowOff>57150</xdr:rowOff>
    </xdr:from>
    <xdr:to>
      <xdr:col>4</xdr:col>
      <xdr:colOff>663876</xdr:colOff>
      <xdr:row>13</xdr:row>
      <xdr:rowOff>265950</xdr:rowOff>
    </xdr:to>
    <xdr:sp macro="[0]!Add_Rows" textlink="">
      <xdr:nvSpPr>
        <xdr:cNvPr id="2" name="Rounded Rectangle 1"/>
        <xdr:cNvSpPr/>
      </xdr:nvSpPr>
      <xdr:spPr>
        <a:xfrm>
          <a:off x="1036126"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739744</xdr:colOff>
      <xdr:row>13</xdr:row>
      <xdr:rowOff>57150</xdr:rowOff>
    </xdr:from>
    <xdr:to>
      <xdr:col>4</xdr:col>
      <xdr:colOff>1351744</xdr:colOff>
      <xdr:row>13</xdr:row>
      <xdr:rowOff>265950</xdr:rowOff>
    </xdr:to>
    <xdr:sp macro="[0]!'Del_Form 1'" textlink="">
      <xdr:nvSpPr>
        <xdr:cNvPr id="3" name="Rounded Rectangle 2"/>
        <xdr:cNvSpPr/>
      </xdr:nvSpPr>
      <xdr:spPr>
        <a:xfrm>
          <a:off x="1723994"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73042</xdr:colOff>
      <xdr:row>6</xdr:row>
      <xdr:rowOff>66675</xdr:rowOff>
    </xdr:from>
    <xdr:to>
      <xdr:col>4</xdr:col>
      <xdr:colOff>829042</xdr:colOff>
      <xdr:row>7</xdr:row>
      <xdr:rowOff>106575</xdr:rowOff>
    </xdr:to>
    <xdr:sp macro="[0]!home" textlink="">
      <xdr:nvSpPr>
        <xdr:cNvPr id="4" name="Rounded Rectangle 3"/>
        <xdr:cNvSpPr/>
      </xdr:nvSpPr>
      <xdr:spPr>
        <a:xfrm>
          <a:off x="1057292"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920766</xdr:colOff>
      <xdr:row>6</xdr:row>
      <xdr:rowOff>66675</xdr:rowOff>
    </xdr:from>
    <xdr:to>
      <xdr:col>4</xdr:col>
      <xdr:colOff>1676766</xdr:colOff>
      <xdr:row>7</xdr:row>
      <xdr:rowOff>106575</xdr:rowOff>
    </xdr:to>
    <xdr:sp macro="[0]!'ValidateEBT 1'" textlink="">
      <xdr:nvSpPr>
        <xdr:cNvPr id="5" name="Rounded Rectangle 4"/>
        <xdr:cNvSpPr/>
      </xdr:nvSpPr>
      <xdr:spPr>
        <a:xfrm>
          <a:off x="1905016"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5</xdr:col>
      <xdr:colOff>28575</xdr:colOff>
      <xdr:row>13</xdr:row>
      <xdr:rowOff>57150</xdr:rowOff>
    </xdr:from>
    <xdr:to>
      <xdr:col>5</xdr:col>
      <xdr:colOff>640575</xdr:colOff>
      <xdr:row>13</xdr:row>
      <xdr:rowOff>265950</xdr:rowOff>
    </xdr:to>
    <xdr:sp macro="[0]!Add_Rows" textlink="">
      <xdr:nvSpPr>
        <xdr:cNvPr id="2" name="Rounded Rectangle 1"/>
        <xdr:cNvSpPr/>
      </xdr:nvSpPr>
      <xdr:spPr>
        <a:xfrm>
          <a:off x="2943225"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xdr:cNvSpPr/>
      </xdr:nvSpPr>
      <xdr:spPr>
        <a:xfrm>
          <a:off x="3631093"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6</xdr:col>
      <xdr:colOff>203549</xdr:colOff>
      <xdr:row>7</xdr:row>
      <xdr:rowOff>39900</xdr:rowOff>
    </xdr:to>
    <xdr:sp macro="[0]!'ValidateUnclaimedProm 1'" textlink="">
      <xdr:nvSpPr>
        <xdr:cNvPr id="5" name="Rounded Rectangle 4"/>
        <xdr:cNvSpPr/>
      </xdr:nvSpPr>
      <xdr:spPr>
        <a:xfrm>
          <a:off x="3762374"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4</xdr:col>
      <xdr:colOff>9525</xdr:colOff>
      <xdr:row>13</xdr:row>
      <xdr:rowOff>47625</xdr:rowOff>
    </xdr:from>
    <xdr:to>
      <xdr:col>4</xdr:col>
      <xdr:colOff>621525</xdr:colOff>
      <xdr:row>13</xdr:row>
      <xdr:rowOff>256425</xdr:rowOff>
    </xdr:to>
    <xdr:sp macro="[0]!Add_Rows" textlink="">
      <xdr:nvSpPr>
        <xdr:cNvPr id="2" name="Rounded Rectangle 1"/>
        <xdr:cNvSpPr/>
      </xdr:nvSpPr>
      <xdr:spPr>
        <a:xfrm>
          <a:off x="2038350" y="1571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697393</xdr:colOff>
      <xdr:row>13</xdr:row>
      <xdr:rowOff>47625</xdr:rowOff>
    </xdr:from>
    <xdr:to>
      <xdr:col>4</xdr:col>
      <xdr:colOff>1309393</xdr:colOff>
      <xdr:row>13</xdr:row>
      <xdr:rowOff>256425</xdr:rowOff>
    </xdr:to>
    <xdr:sp macro="[0]!'Del_Form 1'" textlink="">
      <xdr:nvSpPr>
        <xdr:cNvPr id="3" name="Rounded Rectangle 2"/>
        <xdr:cNvSpPr/>
      </xdr:nvSpPr>
      <xdr:spPr>
        <a:xfrm>
          <a:off x="2726218" y="1571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9525</xdr:colOff>
      <xdr:row>6</xdr:row>
      <xdr:rowOff>0</xdr:rowOff>
    </xdr:from>
    <xdr:to>
      <xdr:col>4</xdr:col>
      <xdr:colOff>765525</xdr:colOff>
      <xdr:row>7</xdr:row>
      <xdr:rowOff>39900</xdr:rowOff>
    </xdr:to>
    <xdr:sp macro="[0]!home" textlink="">
      <xdr:nvSpPr>
        <xdr:cNvPr id="4" name="Rounded Rectangle 3"/>
        <xdr:cNvSpPr/>
      </xdr:nvSpPr>
      <xdr:spPr>
        <a:xfrm>
          <a:off x="2038350" y="1905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857249</xdr:colOff>
      <xdr:row>6</xdr:row>
      <xdr:rowOff>0</xdr:rowOff>
    </xdr:from>
    <xdr:to>
      <xdr:col>4</xdr:col>
      <xdr:colOff>1613249</xdr:colOff>
      <xdr:row>7</xdr:row>
      <xdr:rowOff>39900</xdr:rowOff>
    </xdr:to>
    <xdr:sp macro="[0]!'ValidatePAC_Public 1'" textlink="">
      <xdr:nvSpPr>
        <xdr:cNvPr id="5" name="Rounded Rectangle 4"/>
        <xdr:cNvSpPr/>
      </xdr:nvSpPr>
      <xdr:spPr>
        <a:xfrm>
          <a:off x="2886074" y="1905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5</xdr:col>
      <xdr:colOff>28575</xdr:colOff>
      <xdr:row>13</xdr:row>
      <xdr:rowOff>47625</xdr:rowOff>
    </xdr:from>
    <xdr:to>
      <xdr:col>5</xdr:col>
      <xdr:colOff>640575</xdr:colOff>
      <xdr:row>13</xdr:row>
      <xdr:rowOff>256425</xdr:rowOff>
    </xdr:to>
    <xdr:sp macro="[0]!Add_Rows" textlink="">
      <xdr:nvSpPr>
        <xdr:cNvPr id="2" name="Rounded Rectangle 1"/>
        <xdr:cNvSpPr/>
      </xdr:nvSpPr>
      <xdr:spPr>
        <a:xfrm>
          <a:off x="2943225"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47625</xdr:rowOff>
    </xdr:from>
    <xdr:to>
      <xdr:col>5</xdr:col>
      <xdr:colOff>1328443</xdr:colOff>
      <xdr:row>13</xdr:row>
      <xdr:rowOff>256425</xdr:rowOff>
    </xdr:to>
    <xdr:sp macro="[0]!'Del_Form 1'" textlink="">
      <xdr:nvSpPr>
        <xdr:cNvPr id="3" name="Rounded Rectangle 2"/>
        <xdr:cNvSpPr/>
      </xdr:nvSpPr>
      <xdr:spPr>
        <a:xfrm>
          <a:off x="3631093"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5</xdr:col>
      <xdr:colOff>1638300</xdr:colOff>
      <xdr:row>7</xdr:row>
      <xdr:rowOff>39900</xdr:rowOff>
    </xdr:to>
    <xdr:sp macro="[0]!'ValidateUnclaimed_Public 1'" textlink="">
      <xdr:nvSpPr>
        <xdr:cNvPr id="5" name="Rounded Rectangle 4"/>
        <xdr:cNvSpPr/>
      </xdr:nvSpPr>
      <xdr:spPr>
        <a:xfrm>
          <a:off x="1933574" y="190500"/>
          <a:ext cx="790576"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1100"/>
        </a:defPPr>
      </a:lstStyle>
      <a:style>
        <a:lnRef idx="1">
          <a:schemeClr val="accent2"/>
        </a:lnRef>
        <a:fillRef idx="3">
          <a:schemeClr val="accent2"/>
        </a:fillRef>
        <a:effectRef idx="2">
          <a:schemeClr val="accent2"/>
        </a:effectRef>
        <a:fontRef idx="minor">
          <a:schemeClr val="lt1"/>
        </a:fontRef>
      </a:style>
    </a:spDef>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1" Type="http://schemas.openxmlformats.org/officeDocument/2006/relationships/printerSettings" Target="../printerSettings/printerSettings8.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14.bin"/></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ctrlProp" Target="../ctrlProps/ctrlProp9.xml"/><Relationship Id="rId7"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26.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ctrlProp" Target="../ctrlProps/ctrlProp15.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1.xml"/><Relationship Id="rId1" Type="http://schemas.openxmlformats.org/officeDocument/2006/relationships/printerSettings" Target="../printerSettings/printerSettings15.bin"/><Relationship Id="rId4" Type="http://schemas.openxmlformats.org/officeDocument/2006/relationships/ctrlProp" Target="../ctrlProps/ctrlProp16.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16.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18.bin"/></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6.xml"/></Relationships>
</file>

<file path=xl/worksheets/sheet1.xml><?xml version="1.0" encoding="utf-8"?>
<worksheet xmlns="http://schemas.openxmlformats.org/spreadsheetml/2006/main" xmlns:r="http://schemas.openxmlformats.org/officeDocument/2006/relationships">
  <sheetPr codeName="Sheet37"/>
  <dimension ref="A1:M68"/>
  <sheetViews>
    <sheetView showGridLines="0" workbookViewId="0">
      <selection activeCell="D50" sqref="D50:J50"/>
    </sheetView>
  </sheetViews>
  <sheetFormatPr defaultColWidth="0" defaultRowHeight="15" customHeight="1" zeroHeight="1"/>
  <cols>
    <col min="1" max="1" width="2.7109375" customWidth="1"/>
    <col min="2" max="2" width="3" customWidth="1"/>
    <col min="3" max="3" width="2.7109375" customWidth="1"/>
    <col min="4" max="4" width="8" customWidth="1"/>
    <col min="5" max="5" width="12.140625" customWidth="1"/>
    <col min="6" max="6" width="16.5703125" customWidth="1"/>
    <col min="7" max="7" width="17" customWidth="1"/>
    <col min="8" max="8" width="12.85546875" customWidth="1"/>
    <col min="9" max="9" width="15.28515625" customWidth="1"/>
    <col min="10" max="10" width="20.140625" customWidth="1"/>
    <col min="11" max="11" width="4.42578125" customWidth="1"/>
    <col min="12" max="12" width="3.85546875" customWidth="1"/>
    <col min="13" max="13" width="5.140625" customWidth="1"/>
    <col min="14" max="16384" width="9.140625" hidden="1"/>
  </cols>
  <sheetData>
    <row r="1" spans="4:10"/>
    <row r="2" spans="4:10">
      <c r="I2" s="267"/>
    </row>
    <row r="3" spans="4:10">
      <c r="I3" s="267"/>
    </row>
    <row r="4" spans="4:10">
      <c r="I4" s="267"/>
    </row>
    <row r="5" spans="4:10">
      <c r="I5" s="267"/>
    </row>
    <row r="6" spans="4:10">
      <c r="E6" s="434" t="s">
        <v>454</v>
      </c>
      <c r="F6" s="435"/>
      <c r="G6" s="435"/>
      <c r="H6" s="435"/>
      <c r="I6" s="436"/>
    </row>
    <row r="7" spans="4:10">
      <c r="E7" s="268" t="s">
        <v>455</v>
      </c>
      <c r="F7" s="437" t="s">
        <v>456</v>
      </c>
      <c r="G7" s="438"/>
      <c r="H7" s="438"/>
      <c r="I7" s="439"/>
    </row>
    <row r="8" spans="4:10">
      <c r="E8" s="268" t="s">
        <v>457</v>
      </c>
      <c r="F8" s="437" t="s">
        <v>458</v>
      </c>
      <c r="G8" s="440"/>
      <c r="H8" s="440"/>
      <c r="I8" s="441"/>
    </row>
    <row r="9" spans="4:10">
      <c r="E9" s="268" t="s">
        <v>459</v>
      </c>
      <c r="F9" s="437" t="s">
        <v>460</v>
      </c>
      <c r="G9" s="440"/>
      <c r="H9" s="440"/>
      <c r="I9" s="441"/>
    </row>
    <row r="10" spans="4:10">
      <c r="E10" s="268" t="s">
        <v>461</v>
      </c>
      <c r="F10" s="437" t="s">
        <v>642</v>
      </c>
      <c r="G10" s="440"/>
      <c r="H10" s="440"/>
      <c r="I10" s="441"/>
    </row>
    <row r="11" spans="4:10">
      <c r="E11" s="268" t="s">
        <v>641</v>
      </c>
      <c r="F11" s="437" t="s">
        <v>489</v>
      </c>
      <c r="G11" s="440"/>
      <c r="H11" s="440"/>
      <c r="I11" s="441"/>
    </row>
    <row r="12" spans="4:10">
      <c r="E12" s="268" t="s">
        <v>645</v>
      </c>
      <c r="F12" s="437" t="s">
        <v>646</v>
      </c>
      <c r="G12" s="440"/>
      <c r="H12" s="440"/>
      <c r="I12" s="441"/>
    </row>
    <row r="13" spans="4:10">
      <c r="I13" s="267"/>
    </row>
    <row r="14" spans="4:10">
      <c r="I14" s="267"/>
    </row>
    <row r="15" spans="4:10">
      <c r="D15" s="442" t="s">
        <v>462</v>
      </c>
      <c r="E15" s="443"/>
      <c r="F15" s="443"/>
      <c r="G15" s="443"/>
      <c r="H15" s="443"/>
      <c r="I15" s="443"/>
      <c r="J15" s="444"/>
    </row>
    <row r="16" spans="4:10" ht="27.75" customHeight="1">
      <c r="D16" s="445" t="s">
        <v>463</v>
      </c>
      <c r="E16" s="445"/>
      <c r="F16" s="445"/>
      <c r="G16" s="445"/>
      <c r="H16" s="445"/>
      <c r="I16" s="445"/>
      <c r="J16" s="445"/>
    </row>
    <row r="17" spans="4:10" ht="45" customHeight="1">
      <c r="D17" s="446" t="s">
        <v>464</v>
      </c>
      <c r="E17" s="446"/>
      <c r="F17" s="446"/>
      <c r="G17" s="446"/>
      <c r="H17" s="446"/>
      <c r="I17" s="446"/>
      <c r="J17" s="446"/>
    </row>
    <row r="18" spans="4:10">
      <c r="D18" s="269"/>
      <c r="E18" s="269"/>
      <c r="F18" s="269"/>
      <c r="G18" s="269"/>
      <c r="H18" s="269"/>
      <c r="I18" s="270"/>
      <c r="J18" s="269"/>
    </row>
    <row r="19" spans="4:10">
      <c r="I19" s="267"/>
    </row>
    <row r="20" spans="4:10" ht="15.75">
      <c r="D20" s="425" t="s">
        <v>465</v>
      </c>
      <c r="E20" s="426"/>
      <c r="F20" s="426"/>
      <c r="G20" s="426"/>
      <c r="H20" s="426"/>
      <c r="I20" s="426"/>
      <c r="J20" s="427"/>
    </row>
    <row r="21" spans="4:10" ht="18" customHeight="1">
      <c r="D21" s="447" t="s">
        <v>466</v>
      </c>
      <c r="E21" s="448"/>
      <c r="F21" s="448"/>
      <c r="G21" s="448"/>
      <c r="H21" s="448"/>
      <c r="I21" s="448"/>
      <c r="J21" s="449"/>
    </row>
    <row r="22" spans="4:10" ht="16.5" customHeight="1">
      <c r="D22" s="450" t="s">
        <v>467</v>
      </c>
      <c r="E22" s="451"/>
      <c r="F22" s="451"/>
      <c r="G22" s="451"/>
      <c r="H22" s="451"/>
      <c r="I22" s="451"/>
      <c r="J22" s="452"/>
    </row>
    <row r="23" spans="4:10" ht="16.5" customHeight="1">
      <c r="D23" s="411" t="s">
        <v>468</v>
      </c>
      <c r="E23" s="412"/>
      <c r="F23" s="412"/>
      <c r="G23" s="412"/>
      <c r="H23" s="412"/>
      <c r="I23" s="412"/>
      <c r="J23" s="413"/>
    </row>
    <row r="24" spans="4:10" ht="18.75" customHeight="1">
      <c r="D24" s="411" t="s">
        <v>469</v>
      </c>
      <c r="E24" s="412"/>
      <c r="F24" s="412"/>
      <c r="G24" s="412"/>
      <c r="H24" s="412"/>
      <c r="I24" s="412"/>
      <c r="J24" s="413"/>
    </row>
    <row r="25" spans="4:10" ht="28.5" customHeight="1">
      <c r="D25" s="414" t="s">
        <v>470</v>
      </c>
      <c r="E25" s="415"/>
      <c r="F25" s="415"/>
      <c r="G25" s="415"/>
      <c r="H25" s="415"/>
      <c r="I25" s="415"/>
      <c r="J25" s="416"/>
    </row>
    <row r="26" spans="4:10">
      <c r="I26" s="267"/>
    </row>
    <row r="27" spans="4:10">
      <c r="I27" s="267"/>
    </row>
    <row r="28" spans="4:10" ht="15.75">
      <c r="D28" s="431" t="s">
        <v>471</v>
      </c>
      <c r="E28" s="432"/>
      <c r="F28" s="432"/>
      <c r="G28" s="432"/>
      <c r="H28" s="432"/>
      <c r="I28" s="432"/>
      <c r="J28" s="433"/>
    </row>
    <row r="29" spans="4:10">
      <c r="D29" s="271">
        <v>1</v>
      </c>
      <c r="E29" s="423" t="s">
        <v>472</v>
      </c>
      <c r="F29" s="424"/>
      <c r="G29" s="424"/>
      <c r="H29" s="424"/>
      <c r="I29" s="424"/>
      <c r="J29" s="274" t="s">
        <v>473</v>
      </c>
    </row>
    <row r="30" spans="4:10">
      <c r="D30" s="271">
        <v>2</v>
      </c>
      <c r="E30" s="423" t="s">
        <v>490</v>
      </c>
      <c r="F30" s="424"/>
      <c r="G30" s="424"/>
      <c r="H30" s="424"/>
      <c r="I30" s="424"/>
      <c r="J30" s="274" t="s">
        <v>490</v>
      </c>
    </row>
    <row r="31" spans="4:10">
      <c r="D31" s="271">
        <v>3</v>
      </c>
      <c r="E31" s="423" t="s">
        <v>491</v>
      </c>
      <c r="F31" s="424"/>
      <c r="G31" s="424"/>
      <c r="H31" s="424"/>
      <c r="I31" s="424"/>
      <c r="J31" s="274" t="s">
        <v>491</v>
      </c>
    </row>
    <row r="32" spans="4:10">
      <c r="D32" s="271">
        <v>4</v>
      </c>
      <c r="E32" s="423" t="s">
        <v>492</v>
      </c>
      <c r="F32" s="424"/>
      <c r="G32" s="424"/>
      <c r="H32" s="424"/>
      <c r="I32" s="424"/>
      <c r="J32" s="274" t="s">
        <v>492</v>
      </c>
    </row>
    <row r="33" spans="4:10">
      <c r="D33" s="272"/>
      <c r="E33" s="272"/>
      <c r="F33" s="272"/>
      <c r="G33" s="272"/>
      <c r="H33" s="272"/>
      <c r="I33" s="273"/>
      <c r="J33" s="272"/>
    </row>
    <row r="34" spans="4:10">
      <c r="D34" s="272"/>
      <c r="E34" s="272"/>
      <c r="F34" s="272"/>
      <c r="G34" s="272"/>
      <c r="H34" s="272"/>
      <c r="I34" s="273"/>
      <c r="J34" s="272"/>
    </row>
    <row r="35" spans="4:10" ht="15.75">
      <c r="D35" s="425" t="s">
        <v>639</v>
      </c>
      <c r="E35" s="426"/>
      <c r="F35" s="426"/>
      <c r="G35" s="426"/>
      <c r="H35" s="426"/>
      <c r="I35" s="426"/>
      <c r="J35" s="427"/>
    </row>
    <row r="36" spans="4:10" ht="30" customHeight="1">
      <c r="D36" s="428" t="s">
        <v>640</v>
      </c>
      <c r="E36" s="429"/>
      <c r="F36" s="429"/>
      <c r="G36" s="429"/>
      <c r="H36" s="429"/>
      <c r="I36" s="429"/>
      <c r="J36" s="430"/>
    </row>
    <row r="37" spans="4:10">
      <c r="D37" s="272"/>
      <c r="E37" s="272"/>
      <c r="F37" s="272"/>
      <c r="G37" s="272"/>
      <c r="H37" s="272"/>
      <c r="I37" s="273"/>
      <c r="J37" s="272"/>
    </row>
    <row r="38" spans="4:10">
      <c r="D38" s="272"/>
      <c r="E38" s="272"/>
      <c r="F38" s="272"/>
      <c r="G38" s="272"/>
      <c r="H38" s="272"/>
      <c r="I38" s="273"/>
      <c r="J38" s="272"/>
    </row>
    <row r="39" spans="4:10">
      <c r="I39" s="267"/>
    </row>
    <row r="40" spans="4:10" ht="18" customHeight="1">
      <c r="D40" s="425" t="s">
        <v>643</v>
      </c>
      <c r="E40" s="426"/>
      <c r="F40" s="426"/>
      <c r="G40" s="426"/>
      <c r="H40" s="426"/>
      <c r="I40" s="426"/>
      <c r="J40" s="427"/>
    </row>
    <row r="41" spans="4:10" ht="60" customHeight="1">
      <c r="D41" s="457" t="s">
        <v>493</v>
      </c>
      <c r="E41" s="458"/>
      <c r="F41" s="458"/>
      <c r="G41" s="458"/>
      <c r="H41" s="458"/>
      <c r="I41" s="458"/>
      <c r="J41" s="459"/>
    </row>
    <row r="42" spans="4:10" ht="49.5" customHeight="1">
      <c r="D42" s="460" t="s">
        <v>474</v>
      </c>
      <c r="E42" s="461"/>
      <c r="F42" s="461"/>
      <c r="G42" s="461"/>
      <c r="H42" s="461"/>
      <c r="I42" s="461"/>
      <c r="J42" s="462"/>
    </row>
    <row r="43" spans="4:10" ht="53.25" customHeight="1">
      <c r="D43" s="460" t="s">
        <v>475</v>
      </c>
      <c r="E43" s="461"/>
      <c r="F43" s="461"/>
      <c r="G43" s="461"/>
      <c r="H43" s="461"/>
      <c r="I43" s="461"/>
      <c r="J43" s="462"/>
    </row>
    <row r="44" spans="4:10" ht="30" customHeight="1">
      <c r="D44" s="447" t="s">
        <v>476</v>
      </c>
      <c r="E44" s="463"/>
      <c r="F44" s="463"/>
      <c r="G44" s="463"/>
      <c r="H44" s="463"/>
      <c r="I44" s="463"/>
      <c r="J44" s="464"/>
    </row>
    <row r="45" spans="4:10" ht="56.25" customHeight="1">
      <c r="D45" s="417" t="s">
        <v>477</v>
      </c>
      <c r="E45" s="418"/>
      <c r="F45" s="418"/>
      <c r="G45" s="418"/>
      <c r="H45" s="418"/>
      <c r="I45" s="418"/>
      <c r="J45" s="419"/>
    </row>
    <row r="46" spans="4:10" ht="84.75" customHeight="1">
      <c r="D46" s="417" t="s">
        <v>478</v>
      </c>
      <c r="E46" s="418"/>
      <c r="F46" s="418"/>
      <c r="G46" s="418"/>
      <c r="H46" s="418"/>
      <c r="I46" s="418"/>
      <c r="J46" s="419"/>
    </row>
    <row r="47" spans="4:10" ht="61.5" customHeight="1">
      <c r="D47" s="420" t="s">
        <v>479</v>
      </c>
      <c r="E47" s="421"/>
      <c r="F47" s="421"/>
      <c r="G47" s="421"/>
      <c r="H47" s="421"/>
      <c r="I47" s="421"/>
      <c r="J47" s="422"/>
    </row>
    <row r="48" spans="4:10">
      <c r="I48" s="267"/>
    </row>
    <row r="49" spans="4:10">
      <c r="I49" s="267"/>
    </row>
    <row r="50" spans="4:10" ht="15.75">
      <c r="D50" s="431" t="s">
        <v>644</v>
      </c>
      <c r="E50" s="432"/>
      <c r="F50" s="432"/>
      <c r="G50" s="432"/>
      <c r="H50" s="432"/>
      <c r="I50" s="432"/>
      <c r="J50" s="433"/>
    </row>
    <row r="51" spans="4:10" ht="20.100000000000001" customHeight="1">
      <c r="D51" s="454" t="s">
        <v>480</v>
      </c>
      <c r="E51" s="454"/>
      <c r="F51" s="454"/>
      <c r="G51" s="454"/>
      <c r="H51" s="454"/>
      <c r="I51" s="454"/>
      <c r="J51" s="454"/>
    </row>
    <row r="52" spans="4:10" ht="20.100000000000001" customHeight="1">
      <c r="D52" s="454" t="s">
        <v>481</v>
      </c>
      <c r="E52" s="454"/>
      <c r="F52" s="454"/>
      <c r="G52" s="454"/>
      <c r="H52" s="454"/>
      <c r="I52" s="454"/>
      <c r="J52" s="454"/>
    </row>
    <row r="53" spans="4:10" ht="20.100000000000001" customHeight="1">
      <c r="D53" s="454" t="s">
        <v>482</v>
      </c>
      <c r="E53" s="454"/>
      <c r="F53" s="454"/>
      <c r="G53" s="454"/>
      <c r="H53" s="454"/>
      <c r="I53" s="454"/>
      <c r="J53" s="454"/>
    </row>
    <row r="54" spans="4:10" ht="42" customHeight="1">
      <c r="D54" s="454" t="s">
        <v>483</v>
      </c>
      <c r="E54" s="454"/>
      <c r="F54" s="454"/>
      <c r="G54" s="454"/>
      <c r="H54" s="454"/>
      <c r="I54" s="454"/>
      <c r="J54" s="454"/>
    </row>
    <row r="55" spans="4:10" ht="38.25" customHeight="1">
      <c r="D55" s="454" t="s">
        <v>484</v>
      </c>
      <c r="E55" s="454"/>
      <c r="F55" s="454"/>
      <c r="G55" s="454"/>
      <c r="H55" s="454"/>
      <c r="I55" s="454"/>
      <c r="J55" s="454"/>
    </row>
    <row r="56" spans="4:10" ht="38.25" customHeight="1">
      <c r="D56" s="455" t="s">
        <v>485</v>
      </c>
      <c r="E56" s="454"/>
      <c r="F56" s="454"/>
      <c r="G56" s="454"/>
      <c r="H56" s="454"/>
      <c r="I56" s="454"/>
      <c r="J56" s="454"/>
    </row>
    <row r="57" spans="4:10" ht="38.25" customHeight="1">
      <c r="D57" s="455" t="s">
        <v>486</v>
      </c>
      <c r="E57" s="454"/>
      <c r="F57" s="454"/>
      <c r="G57" s="454"/>
      <c r="H57" s="454"/>
      <c r="I57" s="454"/>
      <c r="J57" s="454"/>
    </row>
    <row r="58" spans="4:10" ht="25.5" customHeight="1">
      <c r="D58" s="456" t="s">
        <v>487</v>
      </c>
      <c r="E58" s="453"/>
      <c r="F58" s="453"/>
      <c r="G58" s="453"/>
      <c r="H58" s="453"/>
      <c r="I58" s="453"/>
      <c r="J58" s="453"/>
    </row>
    <row r="59" spans="4:10" ht="27.75" customHeight="1">
      <c r="D59" s="453" t="s">
        <v>488</v>
      </c>
      <c r="E59" s="453"/>
      <c r="F59" s="453"/>
      <c r="G59" s="453"/>
      <c r="H59" s="453"/>
      <c r="I59" s="453"/>
      <c r="J59" s="453"/>
    </row>
    <row r="60" spans="4:10">
      <c r="I60" s="267"/>
    </row>
    <row r="61" spans="4:10">
      <c r="I61" s="267"/>
    </row>
    <row r="62" spans="4:10">
      <c r="I62" s="267"/>
    </row>
    <row r="63" spans="4:10" ht="15" customHeight="1"/>
    <row r="64" spans="4:10" ht="15" customHeight="1"/>
    <row r="65" ht="15" customHeight="1"/>
    <row r="66" ht="15" customHeight="1"/>
    <row r="67" ht="15" customHeight="1"/>
    <row r="68" ht="15" customHeight="1"/>
  </sheetData>
  <sheetProtection sheet="1" objects="1" scenarios="1"/>
  <mergeCells count="41">
    <mergeCell ref="D52:J52"/>
    <mergeCell ref="D40:J40"/>
    <mergeCell ref="D41:J41"/>
    <mergeCell ref="D42:J42"/>
    <mergeCell ref="D43:J43"/>
    <mergeCell ref="D44:J44"/>
    <mergeCell ref="D45:J45"/>
    <mergeCell ref="D50:J50"/>
    <mergeCell ref="D51:J51"/>
    <mergeCell ref="D59:J59"/>
    <mergeCell ref="D53:J53"/>
    <mergeCell ref="D54:J54"/>
    <mergeCell ref="D55:J55"/>
    <mergeCell ref="D56:J56"/>
    <mergeCell ref="D57:J57"/>
    <mergeCell ref="D58:J58"/>
    <mergeCell ref="D23:J23"/>
    <mergeCell ref="E6:I6"/>
    <mergeCell ref="F7:I7"/>
    <mergeCell ref="F8:I8"/>
    <mergeCell ref="F9:I9"/>
    <mergeCell ref="F12:I12"/>
    <mergeCell ref="D15:J15"/>
    <mergeCell ref="D16:J16"/>
    <mergeCell ref="D17:J17"/>
    <mergeCell ref="D20:J20"/>
    <mergeCell ref="D21:J21"/>
    <mergeCell ref="D22:J22"/>
    <mergeCell ref="F10:I10"/>
    <mergeCell ref="F11:I11"/>
    <mergeCell ref="D24:J24"/>
    <mergeCell ref="D25:J25"/>
    <mergeCell ref="D46:J46"/>
    <mergeCell ref="D47:J47"/>
    <mergeCell ref="E31:I31"/>
    <mergeCell ref="E32:I32"/>
    <mergeCell ref="D35:J35"/>
    <mergeCell ref="D36:J36"/>
    <mergeCell ref="D28:J28"/>
    <mergeCell ref="E29:I29"/>
    <mergeCell ref="E30:I30"/>
  </mergeCells>
  <hyperlinks>
    <hyperlink ref="J30" location="Declaration!A1" display="Declaration"/>
    <hyperlink ref="J31" location="Summary!A1" display="Summary"/>
    <hyperlink ref="J32" location="'Shareholding Pattern'!A1" display="Shareholding Pattern"/>
    <hyperlink ref="J29" location="GeneralInfo!A1" display="General Info"/>
    <hyperlink ref="F7:I7" location="Index!D15" display="Overview"/>
    <hyperlink ref="F8:I8" location="Index!D20" display="Before you begin"/>
    <hyperlink ref="F9:I9" location="Index!D28" display="Index"/>
    <hyperlink ref="F12:I12" location="Index!D50" display="Fill up the Shareholding Pattern"/>
    <hyperlink ref="F10" location="Index!D34" display="Import XBRL file"/>
    <hyperlink ref="F10:I10" location="Index!D35" display="Import XBRL file"/>
    <hyperlink ref="F11:I11" location="Index!D40" display="Steps for filing Shareholding Pattern"/>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Sheet29"/>
  <dimension ref="A1:XFC33"/>
  <sheetViews>
    <sheetView showGridLines="0" tabSelected="1" topLeftCell="D4" workbookViewId="0">
      <selection activeCell="F14" sqref="F14"/>
    </sheetView>
  </sheetViews>
  <sheetFormatPr defaultColWidth="0" defaultRowHeight="15" zeroHeight="1"/>
  <cols>
    <col min="1" max="1" width="2.85546875" style="18" hidden="1" customWidth="1"/>
    <col min="2" max="2" width="2.42578125" style="18" hidden="1" customWidth="1"/>
    <col min="3" max="3" width="2.85546875" style="18" hidden="1" customWidth="1"/>
    <col min="4" max="4" width="2.85546875" style="18" customWidth="1"/>
    <col min="5" max="5" width="80.85546875" style="18" customWidth="1"/>
    <col min="6" max="6" width="35.5703125" style="18" bestFit="1" customWidth="1"/>
    <col min="7" max="7" width="2.7109375" style="18" customWidth="1"/>
    <col min="8" max="16383" width="3.42578125" style="18" hidden="1"/>
    <col min="16384" max="16384" width="1.28515625" style="18" hidden="1"/>
  </cols>
  <sheetData>
    <row r="1" spans="5:24" hidden="1">
      <c r="H1" s="18" t="s">
        <v>440</v>
      </c>
      <c r="R1" s="18" t="s">
        <v>112</v>
      </c>
      <c r="S1" s="18" t="s">
        <v>115</v>
      </c>
      <c r="T1" s="18" t="s">
        <v>118</v>
      </c>
      <c r="U1" s="18" t="s">
        <v>111</v>
      </c>
      <c r="W1" s="18" t="s">
        <v>115</v>
      </c>
    </row>
    <row r="2" spans="5:24" hidden="1">
      <c r="R2" s="18" t="s">
        <v>113</v>
      </c>
      <c r="S2" s="18" t="s">
        <v>116</v>
      </c>
      <c r="T2" s="18" t="s">
        <v>119</v>
      </c>
      <c r="U2" s="18" t="s">
        <v>122</v>
      </c>
      <c r="W2" s="18" t="s">
        <v>117</v>
      </c>
    </row>
    <row r="3" spans="5:24" hidden="1">
      <c r="R3" s="18" t="s">
        <v>114</v>
      </c>
      <c r="S3" s="18" t="s">
        <v>117</v>
      </c>
      <c r="T3" s="18" t="s">
        <v>120</v>
      </c>
      <c r="W3" s="18" t="s">
        <v>502</v>
      </c>
    </row>
    <row r="4" spans="5:24" ht="35.1" customHeight="1">
      <c r="S4" s="18" t="s">
        <v>502</v>
      </c>
      <c r="T4" s="18" t="s">
        <v>121</v>
      </c>
      <c r="W4" s="18" t="s">
        <v>503</v>
      </c>
    </row>
    <row r="5" spans="5:24" ht="30" customHeight="1">
      <c r="E5" s="466" t="s">
        <v>108</v>
      </c>
      <c r="F5" s="467"/>
      <c r="S5" s="18" t="s">
        <v>503</v>
      </c>
    </row>
    <row r="6" spans="5:24" ht="20.100000000000001" customHeight="1">
      <c r="E6" s="19" t="s">
        <v>124</v>
      </c>
      <c r="F6" s="374" t="s">
        <v>737</v>
      </c>
    </row>
    <row r="7" spans="5:24" ht="20.100000000000001" customHeight="1">
      <c r="E7" s="19" t="s">
        <v>508</v>
      </c>
      <c r="F7" s="295" t="s">
        <v>636</v>
      </c>
      <c r="M7" s="18" t="s">
        <v>414</v>
      </c>
      <c r="X7" s="18" t="s">
        <v>111</v>
      </c>
    </row>
    <row r="8" spans="5:24" ht="20.100000000000001" customHeight="1">
      <c r="E8" s="19" t="s">
        <v>509</v>
      </c>
      <c r="F8" s="374"/>
      <c r="M8" s="18" t="s">
        <v>415</v>
      </c>
      <c r="X8" s="18" t="s">
        <v>122</v>
      </c>
    </row>
    <row r="9" spans="5:24" ht="20.100000000000001" customHeight="1">
      <c r="E9" s="19" t="s">
        <v>510</v>
      </c>
      <c r="F9" s="295" t="s">
        <v>738</v>
      </c>
      <c r="M9" s="18" t="s">
        <v>416</v>
      </c>
    </row>
    <row r="10" spans="5:24" ht="20.100000000000001" customHeight="1">
      <c r="E10" s="19" t="s">
        <v>123</v>
      </c>
      <c r="F10" s="295" t="s">
        <v>739</v>
      </c>
      <c r="M10" s="18" t="s">
        <v>504</v>
      </c>
    </row>
    <row r="11" spans="5:24" ht="20.100000000000001" customHeight="1">
      <c r="E11" s="281" t="s">
        <v>500</v>
      </c>
      <c r="F11" s="209" t="s">
        <v>122</v>
      </c>
    </row>
    <row r="12" spans="5:24" ht="20.100000000000001" customHeight="1">
      <c r="E12" s="19" t="s">
        <v>109</v>
      </c>
      <c r="F12" s="327" t="s">
        <v>112</v>
      </c>
    </row>
    <row r="13" spans="5:24" ht="20.100000000000001" customHeight="1">
      <c r="E13" s="19" t="s">
        <v>260</v>
      </c>
      <c r="F13" s="327" t="s">
        <v>116</v>
      </c>
      <c r="R13" s="258"/>
    </row>
    <row r="14" spans="5:24" ht="27" customHeight="1">
      <c r="E14" s="281" t="s">
        <v>501</v>
      </c>
      <c r="F14" s="295" t="s">
        <v>740</v>
      </c>
      <c r="R14" s="259"/>
    </row>
    <row r="15" spans="5:24" ht="22.5" customHeight="1">
      <c r="E15" s="20" t="s">
        <v>110</v>
      </c>
      <c r="F15" s="377" t="s">
        <v>636</v>
      </c>
      <c r="G15" s="202"/>
      <c r="I15" s="259"/>
      <c r="S15" s="259"/>
    </row>
    <row r="16" spans="5:24" ht="22.5" customHeight="1">
      <c r="E16" s="106" t="s">
        <v>265</v>
      </c>
      <c r="F16" s="383" t="str">
        <f>IF(F13=S1,M7,IF(F13=S2,M8,IF(F13=S3,M9,IF(F13=S4,M8,IF(F13=S5,M8,"")))))</f>
        <v>Regulation 31 (1) (b)</v>
      </c>
    </row>
    <row r="17" spans="4:7" s="22" customFormat="1" hidden="1">
      <c r="E17" s="18"/>
      <c r="F17" s="18"/>
    </row>
    <row r="18" spans="4:7" s="22" customFormat="1" ht="21" hidden="1">
      <c r="E18" s="465"/>
      <c r="F18" s="465"/>
    </row>
    <row r="19" spans="4:7" s="22" customFormat="1" ht="21" hidden="1" customHeight="1">
      <c r="D19" s="280"/>
      <c r="G19" s="21"/>
    </row>
    <row r="20" spans="4:7" s="22" customFormat="1" ht="12.75" hidden="1" customHeight="1">
      <c r="D20" s="24"/>
      <c r="E20" s="280"/>
      <c r="F20" s="23"/>
    </row>
    <row r="21" spans="4:7" s="22" customFormat="1" ht="12.75" hidden="1" customHeight="1">
      <c r="D21" s="24"/>
      <c r="E21" s="25"/>
      <c r="F21" s="26"/>
    </row>
    <row r="22" spans="4:7" s="22" customFormat="1" ht="12.75" hidden="1" customHeight="1">
      <c r="D22" s="24"/>
      <c r="E22" s="25"/>
      <c r="F22" s="26"/>
    </row>
    <row r="23" spans="4:7" s="22" customFormat="1" ht="12.75" hidden="1" customHeight="1">
      <c r="D23" s="24"/>
      <c r="E23" s="25"/>
      <c r="F23" s="26"/>
    </row>
    <row r="24" spans="4:7" s="22" customFormat="1" ht="12.75" hidden="1" customHeight="1">
      <c r="D24" s="24"/>
      <c r="E24" s="25"/>
      <c r="F24" s="26"/>
    </row>
    <row r="25" spans="4:7" s="22" customFormat="1" ht="12.75" hidden="1" customHeight="1">
      <c r="D25" s="24"/>
      <c r="E25" s="25"/>
      <c r="F25" s="26"/>
    </row>
    <row r="26" spans="4:7" s="22" customFormat="1" hidden="1">
      <c r="E26" s="25"/>
      <c r="F26" s="26"/>
    </row>
    <row r="27" spans="4:7" s="22" customFormat="1" hidden="1"/>
    <row r="28" spans="4:7" s="22" customFormat="1" hidden="1"/>
    <row r="29" spans="4:7" ht="18.75" hidden="1" customHeight="1">
      <c r="E29" s="22"/>
      <c r="F29" s="22"/>
    </row>
    <row r="30" spans="4:7" hidden="1"/>
    <row r="31" spans="4:7" hidden="1"/>
    <row r="32" spans="4:7" hidden="1"/>
    <row r="33" hidden="1"/>
  </sheetData>
  <sheetProtection password="F884" sheet="1" objects="1" scenarios="1"/>
  <dataConsolidate/>
  <mergeCells count="2">
    <mergeCell ref="E18:F18"/>
    <mergeCell ref="E5:F5"/>
  </mergeCells>
  <dataValidations count="8">
    <dataValidation type="list" allowBlank="1" showInputMessage="1" showErrorMessage="1" sqref="F21:F26">
      <formula1>$U$1:$U$2</formula1>
    </dataValidation>
    <dataValidation allowBlank="1" showInputMessage="1" showErrorMessage="1" prompt="Enter date in DD-MM-YYYY format." sqref="F14:F15"/>
    <dataValidation type="list" allowBlank="1" showInputMessage="1" showErrorMessage="1" sqref="F12">
      <formula1>$R$1:$R$3</formula1>
    </dataValidation>
    <dataValidation type="list" allowBlank="1" showInputMessage="1" showErrorMessage="1" sqref="F13">
      <formula1>IF(F11="Yes",yy,pre)</formula1>
    </dataValidation>
    <dataValidation type="textLength" operator="equal" allowBlank="1" showInputMessage="1" showErrorMessage="1" sqref="F6">
      <formula1>6</formula1>
    </dataValidation>
    <dataValidation type="list" allowBlank="1" showInputMessage="1" showErrorMessage="1" sqref="F11">
      <formula1>$X$7:$X$8</formula1>
    </dataValidation>
    <dataValidation type="custom" allowBlank="1" showInputMessage="1" showErrorMessage="1" sqref="G13">
      <formula1>IF(F11="Yes",OFFSET(R1,2,1,2,1),OFFSET(R1,1,2,3,1))</formula1>
    </dataValidation>
    <dataValidation type="textLength" operator="equal" allowBlank="1" showInputMessage="1" showErrorMessage="1" sqref="F9">
      <formula1>12</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sheetPr codeName="Sheet30"/>
  <dimension ref="A1:XFC16"/>
  <sheetViews>
    <sheetView showGridLines="0" topLeftCell="C7" workbookViewId="0">
      <selection activeCell="F16" sqref="F16"/>
    </sheetView>
  </sheetViews>
  <sheetFormatPr defaultColWidth="0" defaultRowHeight="15" zeroHeight="1"/>
  <cols>
    <col min="1" max="2" width="2.7109375" style="18" hidden="1" customWidth="1"/>
    <col min="3" max="3" width="2.7109375" style="18" customWidth="1"/>
    <col min="4" max="4" width="6.7109375" style="18" customWidth="1"/>
    <col min="5" max="5" width="72.140625" style="18" customWidth="1"/>
    <col min="6" max="6" width="14.7109375" style="18" customWidth="1"/>
    <col min="7" max="7" width="18.140625" style="18" customWidth="1"/>
    <col min="8" max="8" width="17" style="18" customWidth="1"/>
    <col min="9" max="9" width="17.5703125" style="18" customWidth="1"/>
    <col min="10" max="10" width="4" style="18" customWidth="1"/>
    <col min="11" max="16" width="2.7109375" style="18" hidden="1"/>
    <col min="17" max="16383" width="10.140625" style="18" hidden="1"/>
    <col min="16384" max="16384" width="1" style="18" hidden="1"/>
  </cols>
  <sheetData>
    <row r="1" spans="1:21" hidden="1">
      <c r="A1" s="18" t="s">
        <v>250</v>
      </c>
      <c r="T1" s="18" t="s">
        <v>250</v>
      </c>
      <c r="U1" s="18" t="s">
        <v>111</v>
      </c>
    </row>
    <row r="2" spans="1:21" hidden="1">
      <c r="U2" s="18" t="s">
        <v>122</v>
      </c>
    </row>
    <row r="3" spans="1:21" hidden="1"/>
    <row r="4" spans="1:21" hidden="1"/>
    <row r="5" spans="1:21" hidden="1"/>
    <row r="6" spans="1:21" hidden="1"/>
    <row r="7" spans="1:21" ht="30" customHeight="1"/>
    <row r="8" spans="1:21" ht="30" customHeight="1">
      <c r="D8" s="61" t="s">
        <v>132</v>
      </c>
      <c r="E8" s="61" t="s">
        <v>125</v>
      </c>
      <c r="F8" s="341" t="s">
        <v>531</v>
      </c>
      <c r="G8" s="328" t="s">
        <v>511</v>
      </c>
      <c r="H8" s="328" t="s">
        <v>512</v>
      </c>
      <c r="I8" s="328" t="s">
        <v>159</v>
      </c>
    </row>
    <row r="9" spans="1:21" ht="20.100000000000001" customHeight="1">
      <c r="D9" s="27">
        <v>1</v>
      </c>
      <c r="E9" s="337" t="s">
        <v>126</v>
      </c>
      <c r="F9" s="208" t="s">
        <v>122</v>
      </c>
      <c r="G9" s="396" t="s">
        <v>122</v>
      </c>
      <c r="H9" s="396" t="s">
        <v>122</v>
      </c>
      <c r="I9" s="396" t="s">
        <v>122</v>
      </c>
      <c r="M9" s="18">
        <v>1</v>
      </c>
      <c r="N9" s="18">
        <v>1</v>
      </c>
      <c r="O9" s="18">
        <v>1</v>
      </c>
      <c r="P9" s="18">
        <v>1</v>
      </c>
      <c r="R9" s="18" t="s">
        <v>553</v>
      </c>
      <c r="S9" s="18" t="s">
        <v>554</v>
      </c>
      <c r="T9" s="18" t="s">
        <v>555</v>
      </c>
      <c r="U9" s="18" t="s">
        <v>556</v>
      </c>
    </row>
    <row r="10" spans="1:21" ht="20.100000000000001" customHeight="1">
      <c r="D10" s="28">
        <v>2</v>
      </c>
      <c r="E10" s="338" t="s">
        <v>127</v>
      </c>
      <c r="F10" s="209" t="s">
        <v>122</v>
      </c>
      <c r="G10" s="397" t="s">
        <v>122</v>
      </c>
      <c r="H10" s="397" t="s">
        <v>122</v>
      </c>
      <c r="I10" s="397" t="s">
        <v>122</v>
      </c>
      <c r="M10" s="18">
        <v>1</v>
      </c>
      <c r="N10" s="18">
        <v>1</v>
      </c>
      <c r="O10" s="18">
        <v>1</v>
      </c>
      <c r="P10" s="18">
        <v>1</v>
      </c>
      <c r="R10" s="18" t="s">
        <v>557</v>
      </c>
      <c r="S10" s="18" t="s">
        <v>558</v>
      </c>
      <c r="T10" s="18" t="s">
        <v>559</v>
      </c>
      <c r="U10" s="18" t="s">
        <v>560</v>
      </c>
    </row>
    <row r="11" spans="1:21" ht="20.100000000000001" customHeight="1">
      <c r="D11" s="28">
        <v>3</v>
      </c>
      <c r="E11" s="338" t="s">
        <v>128</v>
      </c>
      <c r="F11" s="209" t="s">
        <v>122</v>
      </c>
      <c r="G11" s="397" t="s">
        <v>122</v>
      </c>
      <c r="H11" s="397" t="s">
        <v>122</v>
      </c>
      <c r="I11" s="397" t="s">
        <v>122</v>
      </c>
      <c r="M11" s="18">
        <v>1</v>
      </c>
      <c r="N11" s="18">
        <v>1</v>
      </c>
      <c r="O11" s="18">
        <v>1</v>
      </c>
      <c r="P11" s="18">
        <v>1</v>
      </c>
      <c r="R11" s="18" t="s">
        <v>561</v>
      </c>
      <c r="S11" s="18" t="s">
        <v>562</v>
      </c>
      <c r="T11" s="18" t="s">
        <v>563</v>
      </c>
      <c r="U11" s="18" t="s">
        <v>564</v>
      </c>
    </row>
    <row r="12" spans="1:21" ht="30">
      <c r="D12" s="28">
        <v>4</v>
      </c>
      <c r="E12" s="338" t="s">
        <v>129</v>
      </c>
      <c r="F12" s="209" t="s">
        <v>122</v>
      </c>
      <c r="G12" s="397" t="s">
        <v>122</v>
      </c>
      <c r="H12" s="397" t="s">
        <v>122</v>
      </c>
      <c r="I12" s="397" t="s">
        <v>122</v>
      </c>
      <c r="M12" s="18">
        <v>1</v>
      </c>
      <c r="N12" s="18">
        <v>1</v>
      </c>
      <c r="O12" s="18">
        <v>1</v>
      </c>
      <c r="P12" s="18">
        <v>1</v>
      </c>
      <c r="R12" s="18" t="s">
        <v>565</v>
      </c>
      <c r="S12" s="18" t="s">
        <v>566</v>
      </c>
      <c r="T12" s="18" t="s">
        <v>567</v>
      </c>
      <c r="U12" s="18" t="s">
        <v>568</v>
      </c>
    </row>
    <row r="13" spans="1:21" ht="21.75" customHeight="1">
      <c r="D13" s="28">
        <v>5</v>
      </c>
      <c r="E13" s="338" t="s">
        <v>130</v>
      </c>
      <c r="F13" s="209" t="s">
        <v>122</v>
      </c>
      <c r="G13" s="397" t="s">
        <v>122</v>
      </c>
      <c r="H13" s="398" t="s">
        <v>122</v>
      </c>
      <c r="I13" s="398" t="s">
        <v>122</v>
      </c>
      <c r="M13" s="18">
        <v>1</v>
      </c>
      <c r="N13" s="18">
        <v>1</v>
      </c>
      <c r="O13" s="18">
        <v>1</v>
      </c>
      <c r="P13" s="18">
        <v>1</v>
      </c>
      <c r="R13" s="18" t="s">
        <v>569</v>
      </c>
      <c r="S13" s="18" t="s">
        <v>570</v>
      </c>
      <c r="T13" s="18" t="s">
        <v>571</v>
      </c>
      <c r="U13" s="18" t="s">
        <v>572</v>
      </c>
    </row>
    <row r="14" spans="1:21" s="102" customFormat="1" ht="20.100000000000001" customHeight="1">
      <c r="A14" s="18"/>
      <c r="B14" s="18"/>
      <c r="C14" s="18"/>
      <c r="D14" s="107">
        <v>6</v>
      </c>
      <c r="E14" s="339" t="s">
        <v>131</v>
      </c>
      <c r="F14" s="331" t="s">
        <v>122</v>
      </c>
      <c r="G14" s="399" t="s">
        <v>122</v>
      </c>
      <c r="H14" s="329"/>
      <c r="I14" s="330"/>
      <c r="M14" s="102">
        <v>1</v>
      </c>
      <c r="N14" s="102">
        <v>1</v>
      </c>
      <c r="O14" s="102">
        <v>0</v>
      </c>
      <c r="P14" s="102">
        <v>0</v>
      </c>
      <c r="R14" s="102" t="s">
        <v>573</v>
      </c>
      <c r="S14" s="102" t="s">
        <v>574</v>
      </c>
      <c r="T14" s="102" t="s">
        <v>575</v>
      </c>
      <c r="U14" s="102" t="s">
        <v>576</v>
      </c>
    </row>
    <row r="15" spans="1:21" s="102" customFormat="1" ht="20.100000000000001" customHeight="1">
      <c r="A15" s="18"/>
      <c r="B15" s="18"/>
      <c r="C15" s="18"/>
      <c r="D15" s="107">
        <v>7</v>
      </c>
      <c r="E15" s="338" t="s">
        <v>439</v>
      </c>
      <c r="F15" s="394" t="s">
        <v>122</v>
      </c>
      <c r="G15" s="400" t="s">
        <v>122</v>
      </c>
      <c r="H15" s="401" t="s">
        <v>122</v>
      </c>
      <c r="I15" s="401" t="s">
        <v>122</v>
      </c>
      <c r="M15" s="102">
        <v>1</v>
      </c>
      <c r="N15" s="102">
        <v>1</v>
      </c>
      <c r="O15" s="102">
        <v>1</v>
      </c>
      <c r="P15" s="102">
        <v>1</v>
      </c>
      <c r="R15" s="102" t="s">
        <v>577</v>
      </c>
      <c r="S15" s="102" t="s">
        <v>578</v>
      </c>
      <c r="T15" s="102" t="s">
        <v>579</v>
      </c>
      <c r="U15" s="102" t="s">
        <v>580</v>
      </c>
    </row>
    <row r="16" spans="1:21" ht="21" customHeight="1">
      <c r="D16" s="29">
        <v>8</v>
      </c>
      <c r="E16" s="340" t="s">
        <v>663</v>
      </c>
      <c r="F16" s="395" t="s">
        <v>122</v>
      </c>
      <c r="G16" s="468"/>
      <c r="H16" s="469"/>
      <c r="I16" s="470"/>
      <c r="R16" s="202" t="s">
        <v>663</v>
      </c>
    </row>
  </sheetData>
  <sheetProtection password="F884" sheet="1" objects="1" scenarios="1"/>
  <mergeCells count="1">
    <mergeCell ref="G16:I16"/>
  </mergeCells>
  <dataValidations count="1">
    <dataValidation type="list" allowBlank="1" showInputMessage="1" showErrorMessage="1" sqref="F9:G15 H9:I13 H15:I15 F16">
      <formula1>$U$1:$U$2</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sheetPr codeName="Sheet34"/>
  <dimension ref="A1:XFC19"/>
  <sheetViews>
    <sheetView showGridLines="0" topLeftCell="A6" zoomScale="90" zoomScaleNormal="90" workbookViewId="0">
      <selection activeCell="G13" sqref="G13:H14"/>
    </sheetView>
  </sheetViews>
  <sheetFormatPr defaultColWidth="0" defaultRowHeight="15" zeroHeight="1"/>
  <cols>
    <col min="1" max="1" width="2.5703125" customWidth="1"/>
    <col min="2" max="4" width="9.140625" hidden="1" customWidth="1"/>
    <col min="5" max="5" width="7.140625" customWidth="1"/>
    <col min="6" max="6" width="35.7109375" customWidth="1"/>
    <col min="7" max="7" width="16" customWidth="1"/>
    <col min="8" max="8" width="24.28515625" customWidth="1"/>
    <col min="9" max="12" width="16.7109375" customWidth="1"/>
    <col min="13" max="13" width="18.85546875" customWidth="1"/>
    <col min="14" max="14" width="20.28515625" style="67" customWidth="1"/>
    <col min="15" max="15" width="22.28515625" style="67" customWidth="1"/>
    <col min="16" max="16" width="17.7109375" customWidth="1"/>
    <col min="17" max="17" width="21.28515625" customWidth="1"/>
    <col min="18" max="18" width="16.7109375" customWidth="1"/>
    <col min="19" max="19" width="21.42578125" customWidth="1"/>
    <col min="20" max="20" width="22.42578125" customWidth="1"/>
    <col min="21" max="21" width="18.85546875" customWidth="1"/>
    <col min="22" max="22" width="16.7109375" customWidth="1"/>
    <col min="23" max="23" width="12.28515625" customWidth="1"/>
    <col min="24" max="24" width="16.7109375" customWidth="1"/>
    <col min="25" max="25" width="17.140625" bestFit="1" customWidth="1"/>
    <col min="26" max="26" width="4.7109375" customWidth="1"/>
    <col min="27" max="16383" width="9.140625" hidden="1"/>
    <col min="16384" max="16384" width="2.28515625" hidden="1"/>
  </cols>
  <sheetData>
    <row r="1" spans="5:25" hidden="1"/>
    <row r="2" spans="5:25" hidden="1">
      <c r="G2" t="s">
        <v>144</v>
      </c>
      <c r="H2" t="s">
        <v>165</v>
      </c>
      <c r="I2" t="s">
        <v>166</v>
      </c>
      <c r="J2" t="s">
        <v>167</v>
      </c>
      <c r="K2" t="s">
        <v>168</v>
      </c>
      <c r="L2" t="s">
        <v>169</v>
      </c>
      <c r="M2" t="s">
        <v>170</v>
      </c>
      <c r="N2" s="67" t="s">
        <v>171</v>
      </c>
      <c r="O2" s="67" t="s">
        <v>172</v>
      </c>
      <c r="P2" t="s">
        <v>173</v>
      </c>
      <c r="Q2" t="s">
        <v>174</v>
      </c>
      <c r="R2" t="s">
        <v>175</v>
      </c>
      <c r="S2" t="s">
        <v>177</v>
      </c>
      <c r="T2" t="s">
        <v>177</v>
      </c>
      <c r="U2" t="s">
        <v>178</v>
      </c>
      <c r="V2" t="s">
        <v>179</v>
      </c>
      <c r="W2" t="s">
        <v>180</v>
      </c>
      <c r="X2" t="s">
        <v>181</v>
      </c>
      <c r="Y2" t="s">
        <v>182</v>
      </c>
    </row>
    <row r="3" spans="5:25" hidden="1"/>
    <row r="4" spans="5:25" hidden="1"/>
    <row r="5" spans="5:25" hidden="1"/>
    <row r="6" spans="5:25"/>
    <row r="7" spans="5:25"/>
    <row r="8" spans="5:25" ht="30" customHeight="1">
      <c r="E8" s="474" t="s">
        <v>164</v>
      </c>
      <c r="F8" s="475"/>
      <c r="G8" s="475"/>
      <c r="H8" s="475"/>
      <c r="I8" s="475"/>
      <c r="J8" s="475"/>
      <c r="K8" s="475"/>
      <c r="L8" s="475"/>
      <c r="M8" s="475"/>
      <c r="N8" s="475"/>
      <c r="O8" s="475"/>
      <c r="P8" s="475"/>
      <c r="Q8" s="475"/>
      <c r="R8" s="475"/>
      <c r="S8" s="475"/>
      <c r="T8" s="475"/>
      <c r="U8" s="475"/>
      <c r="V8" s="475"/>
      <c r="W8" s="475"/>
      <c r="X8" s="475"/>
      <c r="Y8" s="476"/>
    </row>
    <row r="9" spans="5:25" ht="22.5" customHeight="1">
      <c r="E9" s="483" t="s">
        <v>432</v>
      </c>
      <c r="F9" s="484"/>
      <c r="G9" s="484"/>
      <c r="H9" s="484"/>
      <c r="I9" s="484"/>
      <c r="J9" s="484"/>
      <c r="K9" s="484"/>
      <c r="L9" s="484"/>
      <c r="M9" s="484"/>
      <c r="N9" s="484"/>
      <c r="O9" s="484"/>
      <c r="P9" s="484"/>
      <c r="Q9" s="484"/>
      <c r="R9" s="484"/>
      <c r="S9" s="484"/>
      <c r="T9" s="484"/>
      <c r="U9" s="484"/>
      <c r="V9" s="484"/>
      <c r="W9" s="484"/>
      <c r="X9" s="484"/>
      <c r="Y9" s="485"/>
    </row>
    <row r="10" spans="5:25" ht="27" customHeight="1">
      <c r="E10" s="473" t="s">
        <v>150</v>
      </c>
      <c r="F10" s="473" t="s">
        <v>151</v>
      </c>
      <c r="G10" s="473" t="s">
        <v>2</v>
      </c>
      <c r="H10" s="473" t="s">
        <v>3</v>
      </c>
      <c r="I10" s="473" t="s">
        <v>4</v>
      </c>
      <c r="J10" s="473" t="s">
        <v>5</v>
      </c>
      <c r="K10" s="473" t="s">
        <v>6</v>
      </c>
      <c r="L10" s="473" t="s">
        <v>7</v>
      </c>
      <c r="M10" s="477" t="s">
        <v>152</v>
      </c>
      <c r="N10" s="478"/>
      <c r="O10" s="478"/>
      <c r="P10" s="479"/>
      <c r="Q10" s="473" t="s">
        <v>9</v>
      </c>
      <c r="R10" s="480" t="s">
        <v>505</v>
      </c>
      <c r="S10" s="473" t="s">
        <v>134</v>
      </c>
      <c r="T10" s="473" t="s">
        <v>11</v>
      </c>
      <c r="U10" s="471" t="s">
        <v>12</v>
      </c>
      <c r="V10" s="472"/>
      <c r="W10" s="471" t="s">
        <v>13</v>
      </c>
      <c r="X10" s="472"/>
      <c r="Y10" s="473" t="s">
        <v>14</v>
      </c>
    </row>
    <row r="11" spans="5:25" ht="24" customHeight="1">
      <c r="E11" s="473"/>
      <c r="F11" s="473"/>
      <c r="G11" s="473"/>
      <c r="H11" s="473"/>
      <c r="I11" s="473"/>
      <c r="J11" s="473"/>
      <c r="K11" s="473"/>
      <c r="L11" s="473"/>
      <c r="M11" s="477" t="s">
        <v>386</v>
      </c>
      <c r="N11" s="478"/>
      <c r="O11" s="479"/>
      <c r="P11" s="473" t="s">
        <v>153</v>
      </c>
      <c r="Q11" s="473"/>
      <c r="R11" s="481"/>
      <c r="S11" s="473"/>
      <c r="T11" s="473"/>
      <c r="U11" s="471"/>
      <c r="V11" s="472"/>
      <c r="W11" s="471"/>
      <c r="X11" s="472"/>
      <c r="Y11" s="473"/>
    </row>
    <row r="12" spans="5:25" ht="79.5" customHeight="1">
      <c r="E12" s="473"/>
      <c r="F12" s="473"/>
      <c r="G12" s="473"/>
      <c r="H12" s="473"/>
      <c r="I12" s="473"/>
      <c r="J12" s="473"/>
      <c r="K12" s="473"/>
      <c r="L12" s="473"/>
      <c r="M12" s="65" t="s">
        <v>17</v>
      </c>
      <c r="N12" s="372" t="s">
        <v>18</v>
      </c>
      <c r="O12" s="372" t="s">
        <v>19</v>
      </c>
      <c r="P12" s="473"/>
      <c r="Q12" s="473"/>
      <c r="R12" s="482"/>
      <c r="S12" s="473"/>
      <c r="T12" s="473"/>
      <c r="U12" s="65" t="s">
        <v>20</v>
      </c>
      <c r="V12" s="65" t="s">
        <v>21</v>
      </c>
      <c r="W12" s="65" t="s">
        <v>20</v>
      </c>
      <c r="X12" s="65" t="s">
        <v>21</v>
      </c>
      <c r="Y12" s="473"/>
    </row>
    <row r="13" spans="5:25" ht="20.100000000000001" customHeight="1">
      <c r="E13" s="66" t="s">
        <v>154</v>
      </c>
      <c r="F13" s="56" t="s">
        <v>155</v>
      </c>
      <c r="G13" s="78">
        <f>+IFERROR(IF(COUNT('Shareholding Pattern'!H26),('Shareholding Pattern'!H26),""),"")</f>
        <v>8</v>
      </c>
      <c r="H13" s="78">
        <f>+IFERROR(IF(COUNT('Shareholding Pattern'!I26),('Shareholding Pattern'!I26),""),"")</f>
        <v>179990</v>
      </c>
      <c r="I13" s="78" t="str">
        <f>+IFERROR(IF(COUNT('Shareholding Pattern'!J26),('Shareholding Pattern'!J26),""),"")</f>
        <v/>
      </c>
      <c r="J13" s="78" t="str">
        <f>+IFERROR(IF(COUNT('Shareholding Pattern'!K26),('Shareholding Pattern'!K26),""),"")</f>
        <v/>
      </c>
      <c r="K13" s="78">
        <f>+IFERROR(IF(COUNT('Shareholding Pattern'!L26),('Shareholding Pattern'!L26),""),"")</f>
        <v>179990</v>
      </c>
      <c r="L13" s="189">
        <f>+IFERROR(IF(COUNT('Shareholding Pattern'!M26),('Shareholding Pattern'!M26),""),"")</f>
        <v>75</v>
      </c>
      <c r="M13" s="79">
        <f>+IFERROR(IF(COUNT('Shareholding Pattern'!N26),('Shareholding Pattern'!N26),""),"")</f>
        <v>179990</v>
      </c>
      <c r="N13" s="142" t="str">
        <f>+IFERROR(IF(COUNT('Shareholding Pattern'!O26),('Shareholding Pattern'!O26),""),"")</f>
        <v/>
      </c>
      <c r="O13" s="142">
        <f>+IFERROR(IF(COUNT('Shareholding Pattern'!P26),('Shareholding Pattern'!P26),""),"")</f>
        <v>179990</v>
      </c>
      <c r="P13" s="189">
        <f>+IFERROR(IF(COUNT('Shareholding Pattern'!Q26),('Shareholding Pattern'!Q26),""),"")</f>
        <v>75</v>
      </c>
      <c r="Q13" s="78" t="str">
        <f>+IFERROR(IF(COUNT('Shareholding Pattern'!R26),('Shareholding Pattern'!R26),""),"")</f>
        <v/>
      </c>
      <c r="R13" s="78" t="str">
        <f>+IFERROR(IF(COUNT('Shareholding Pattern'!S26),('Shareholding Pattern'!S26),""),"")</f>
        <v/>
      </c>
      <c r="S13" s="78" t="str">
        <f>+IFERROR(IF(COUNT('Shareholding Pattern'!T26),('Shareholding Pattern'!T26),""),"")</f>
        <v/>
      </c>
      <c r="T13" s="189">
        <f>+IFERROR(IF(COUNT('Shareholding Pattern'!U26),('Shareholding Pattern'!U26),""),"")</f>
        <v>75</v>
      </c>
      <c r="U13" s="78" t="str">
        <f>+IFERROR(IF(COUNT('Shareholding Pattern'!V26),('Shareholding Pattern'!V26),""),"")</f>
        <v/>
      </c>
      <c r="V13" s="189" t="str">
        <f>+IFERROR(IF(COUNT('Shareholding Pattern'!W26),('Shareholding Pattern'!W26),""),"")</f>
        <v/>
      </c>
      <c r="W13" s="78" t="str">
        <f>+IFERROR(IF(COUNT('Shareholding Pattern'!X26),('Shareholding Pattern'!X26),""),"")</f>
        <v/>
      </c>
      <c r="X13" s="189" t="str">
        <f>+IFERROR(IF(COUNT('Shareholding Pattern'!Y26),('Shareholding Pattern'!Y26),""),"")</f>
        <v/>
      </c>
      <c r="Y13" s="78">
        <f>+IFERROR(IF(COUNT('Shareholding Pattern'!Z26),('Shareholding Pattern'!Z26),""),"")</f>
        <v>179990</v>
      </c>
    </row>
    <row r="14" spans="5:25" ht="20.100000000000001" customHeight="1">
      <c r="E14" s="66" t="s">
        <v>156</v>
      </c>
      <c r="F14" s="54" t="s">
        <v>157</v>
      </c>
      <c r="G14" s="78">
        <f>+IFERROR(IF(COUNT('Shareholding Pattern'!H50),('Shareholding Pattern'!H50),""),"")</f>
        <v>11</v>
      </c>
      <c r="H14" s="78">
        <f>+IFERROR(IF(COUNT('Shareholding Pattern'!I50),('Shareholding Pattern'!I50),""),"")</f>
        <v>60010</v>
      </c>
      <c r="I14" s="78" t="str">
        <f>+IFERROR(IF(COUNT('Shareholding Pattern'!J50),('Shareholding Pattern'!J50),""),"")</f>
        <v/>
      </c>
      <c r="J14" s="78" t="str">
        <f>+IFERROR(IF(COUNT('Shareholding Pattern'!K50),('Shareholding Pattern'!K50),""),"")</f>
        <v/>
      </c>
      <c r="K14" s="78">
        <f>+IFERROR(IF(COUNT('Shareholding Pattern'!L50),('Shareholding Pattern'!L50),""),"")</f>
        <v>60010</v>
      </c>
      <c r="L14" s="189">
        <f>+IFERROR(IF(COUNT('Shareholding Pattern'!M50),('Shareholding Pattern'!M50),""),"")</f>
        <v>25</v>
      </c>
      <c r="M14" s="287">
        <f>+IFERROR(IF(COUNT('Shareholding Pattern'!N50),('Shareholding Pattern'!N50),""),"")</f>
        <v>60010</v>
      </c>
      <c r="N14" s="142" t="str">
        <f>+IFERROR(IF(COUNT('Shareholding Pattern'!O50),('Shareholding Pattern'!O50),""),"")</f>
        <v/>
      </c>
      <c r="O14" s="142">
        <f>+IFERROR(IF(COUNT('Shareholding Pattern'!P50),('Shareholding Pattern'!P50),""),"")</f>
        <v>60010</v>
      </c>
      <c r="P14" s="189">
        <f>+IFERROR(IF(COUNT('Shareholding Pattern'!Q50),('Shareholding Pattern'!Q50),""),"")</f>
        <v>25</v>
      </c>
      <c r="Q14" s="78" t="str">
        <f>+IFERROR(IF(COUNT('Shareholding Pattern'!R50),('Shareholding Pattern'!R50),""),"")</f>
        <v/>
      </c>
      <c r="R14" s="78" t="str">
        <f>+IFERROR(IF(COUNT('Shareholding Pattern'!S50),('Shareholding Pattern'!S50),""),"")</f>
        <v/>
      </c>
      <c r="S14" s="78" t="str">
        <f>+IFERROR(IF(COUNT('Shareholding Pattern'!T50),('Shareholding Pattern'!T50),""),"")</f>
        <v/>
      </c>
      <c r="T14" s="189">
        <f>+IFERROR(IF(COUNT('Shareholding Pattern'!U50),('Shareholding Pattern'!U50),""),"")</f>
        <v>25</v>
      </c>
      <c r="U14" s="78" t="str">
        <f>+IFERROR(IF(COUNT('Shareholding Pattern'!V50),('Shareholding Pattern'!V50),""),"")</f>
        <v/>
      </c>
      <c r="V14" s="189" t="str">
        <f>+IFERROR(IF(COUNT('Shareholding Pattern'!W50),('Shareholding Pattern'!W50),""),"")</f>
        <v/>
      </c>
      <c r="W14" s="318"/>
      <c r="X14" s="319"/>
      <c r="Y14" s="78">
        <f>+IFERROR(IF(COUNT('Shareholding Pattern'!Z50),('Shareholding Pattern'!Z50),""),"")</f>
        <v>59410</v>
      </c>
    </row>
    <row r="15" spans="5:25" ht="20.100000000000001" customHeight="1">
      <c r="E15" s="66" t="s">
        <v>158</v>
      </c>
      <c r="F15" s="56" t="s">
        <v>159</v>
      </c>
      <c r="G15" s="78" t="str">
        <f>+IFERROR(IF(COUNT('Shareholding Pattern'!H56),('Shareholding Pattern'!H56),""),"")</f>
        <v/>
      </c>
      <c r="H15" s="78" t="str">
        <f>+IFERROR(IF(COUNT('Shareholding Pattern'!I56),('Shareholding Pattern'!I56),""),"")</f>
        <v/>
      </c>
      <c r="I15" s="78" t="str">
        <f>+IFERROR(IF(COUNT('Shareholding Pattern'!J56),('Shareholding Pattern'!J56),""),"")</f>
        <v/>
      </c>
      <c r="J15" s="78" t="str">
        <f>+IFERROR(IF(COUNT('Shareholding Pattern'!K56),('Shareholding Pattern'!K56),""),"")</f>
        <v/>
      </c>
      <c r="K15" s="78" t="str">
        <f>+IFERROR(IF(COUNT('Shareholding Pattern'!L56),('Shareholding Pattern'!L56),""),"")</f>
        <v/>
      </c>
      <c r="L15" s="316"/>
      <c r="M15" s="78" t="str">
        <f>+IFERROR(IF(COUNT('Shareholding Pattern'!N56),('Shareholding Pattern'!N56),""),"")</f>
        <v/>
      </c>
      <c r="N15" s="142" t="str">
        <f>+IFERROR(IF(COUNT('Shareholding Pattern'!O56),('Shareholding Pattern'!O56),""),"")</f>
        <v/>
      </c>
      <c r="O15" s="142" t="str">
        <f>+IFERROR(IF(COUNT('Shareholding Pattern'!P56),('Shareholding Pattern'!P56),""),"")</f>
        <v/>
      </c>
      <c r="P15" s="189" t="str">
        <f>+IFERROR(IF(COUNT('Shareholding Pattern'!Q56),('Shareholding Pattern'!Q56),""),"")</f>
        <v/>
      </c>
      <c r="Q15" s="78" t="str">
        <f>+IFERROR(IF(COUNT('Shareholding Pattern'!R56),('Shareholding Pattern'!R56),""),"")</f>
        <v/>
      </c>
      <c r="R15" s="78" t="str">
        <f>+IFERROR(IF(COUNT('Shareholding Pattern'!S56),('Shareholding Pattern'!S56),""),"")</f>
        <v/>
      </c>
      <c r="S15" s="78" t="str">
        <f>+IFERROR(IF(COUNT('Shareholding Pattern'!T56),('Shareholding Pattern'!T56),""),"")</f>
        <v/>
      </c>
      <c r="T15" s="316"/>
      <c r="U15" s="78" t="str">
        <f>+IFERROR(IF(COUNT('Shareholding Pattern'!V56),('Shareholding Pattern'!V56),""),"")</f>
        <v/>
      </c>
      <c r="V15" s="189" t="str">
        <f>+IFERROR(IF(COUNT('Shareholding Pattern'!W56),('Shareholding Pattern'!W56),""),"")</f>
        <v/>
      </c>
      <c r="W15" s="320"/>
      <c r="X15" s="321"/>
      <c r="Y15" s="78" t="str">
        <f>+IFERROR(IF(COUNT('Shareholding Pattern'!Z56),('Shareholding Pattern'!Z56),""),"")</f>
        <v/>
      </c>
    </row>
    <row r="16" spans="5:25" ht="20.100000000000001" customHeight="1">
      <c r="E16" s="66" t="s">
        <v>160</v>
      </c>
      <c r="F16" s="74" t="s">
        <v>161</v>
      </c>
      <c r="G16" s="78" t="str">
        <f>+IFERROR(IF(COUNT('Shareholding Pattern'!H54),('Shareholding Pattern'!H54),""),"")</f>
        <v/>
      </c>
      <c r="H16" s="78" t="str">
        <f>+IFERROR(IF(COUNT('Shareholding Pattern'!I54),('Shareholding Pattern'!I54),""),"")</f>
        <v/>
      </c>
      <c r="I16" s="78" t="str">
        <f>+IFERROR(IF(COUNT('Shareholding Pattern'!J54),('Shareholding Pattern'!J54),""),"")</f>
        <v/>
      </c>
      <c r="J16" s="78" t="str">
        <f>+IFERROR(IF(COUNT('Shareholding Pattern'!K54),('Shareholding Pattern'!K54),""),"")</f>
        <v/>
      </c>
      <c r="K16" s="78" t="str">
        <f>+IFERROR(IF(COUNT('Shareholding Pattern'!L54),('Shareholding Pattern'!L54),""),"")</f>
        <v/>
      </c>
      <c r="L16" s="317"/>
      <c r="M16" s="79" t="str">
        <f>+IFERROR(IF(COUNT('Shareholding Pattern'!N54),('Shareholding Pattern'!N54),""),"")</f>
        <v/>
      </c>
      <c r="N16" s="142" t="str">
        <f>+IFERROR(IF(COUNT('Shareholding Pattern'!O54),('Shareholding Pattern'!O54),""),"")</f>
        <v/>
      </c>
      <c r="O16" s="142" t="str">
        <f>+IFERROR(IF(COUNT('Shareholding Pattern'!P54),('Shareholding Pattern'!P54),""),"")</f>
        <v/>
      </c>
      <c r="P16" s="189" t="str">
        <f>+IFERROR(IF(COUNT('Shareholding Pattern'!Q54),('Shareholding Pattern'!Q54),""),"")</f>
        <v/>
      </c>
      <c r="Q16" s="78" t="str">
        <f>+IFERROR(IF(COUNT('Shareholding Pattern'!R54),('Shareholding Pattern'!R54),""),"")</f>
        <v/>
      </c>
      <c r="R16" s="78" t="str">
        <f>+IFERROR(IF(COUNT('Shareholding Pattern'!S54),('Shareholding Pattern'!S54),""),"")</f>
        <v/>
      </c>
      <c r="S16" s="78" t="str">
        <f>+IFERROR(IF(COUNT('Shareholding Pattern'!T54),('Shareholding Pattern'!T54),""),"")</f>
        <v/>
      </c>
      <c r="T16" s="317"/>
      <c r="U16" s="78" t="str">
        <f>+IFERROR(IF(COUNT('Shareholding Pattern'!V54),('Shareholding Pattern'!V54),""),"")</f>
        <v/>
      </c>
      <c r="V16" s="189" t="str">
        <f>+IFERROR(IF(COUNT('Shareholding Pattern'!W54),('Shareholding Pattern'!W54),""),"")</f>
        <v/>
      </c>
      <c r="W16" s="320"/>
      <c r="X16" s="321"/>
      <c r="Y16" s="78" t="str">
        <f>+IFERROR(IF(COUNT('Shareholding Pattern'!Z54),('Shareholding Pattern'!Z54),""),"")</f>
        <v/>
      </c>
    </row>
    <row r="17" spans="5:25" ht="20.100000000000001" customHeight="1">
      <c r="E17" s="66" t="s">
        <v>162</v>
      </c>
      <c r="F17" s="74" t="s">
        <v>163</v>
      </c>
      <c r="G17" s="78" t="str">
        <f>+IFERROR(IF(COUNT('Shareholding Pattern'!H55),('Shareholding Pattern'!H55),""),"")</f>
        <v/>
      </c>
      <c r="H17" s="78" t="str">
        <f>+IFERROR(IF(COUNT('Shareholding Pattern'!I55),('Shareholding Pattern'!I55),""),"")</f>
        <v/>
      </c>
      <c r="I17" s="78" t="str">
        <f>+IFERROR(IF(COUNT('Shareholding Pattern'!J55),('Shareholding Pattern'!J55),""),"")</f>
        <v/>
      </c>
      <c r="J17" s="78" t="str">
        <f>+IFERROR(IF(COUNT('Shareholding Pattern'!K55),('Shareholding Pattern'!K55),""),"")</f>
        <v/>
      </c>
      <c r="K17" s="78" t="str">
        <f>+IFERROR(IF(COUNT('Shareholding Pattern'!L55),('Shareholding Pattern'!L55),""),"")</f>
        <v/>
      </c>
      <c r="L17" s="189" t="str">
        <f>+IFERROR(IF(COUNT('Shareholding Pattern'!M55),('Shareholding Pattern'!M55),""),"")</f>
        <v/>
      </c>
      <c r="M17" s="79" t="str">
        <f>+IFERROR(IF(COUNT('Shareholding Pattern'!N55),('Shareholding Pattern'!N55),""),"")</f>
        <v/>
      </c>
      <c r="N17" s="142" t="str">
        <f>+IFERROR(IF(COUNT('Shareholding Pattern'!O55),('Shareholding Pattern'!O55),""),"")</f>
        <v/>
      </c>
      <c r="O17" s="142" t="str">
        <f>+IFERROR(IF(COUNT('Shareholding Pattern'!P55),('Shareholding Pattern'!P55),""),"")</f>
        <v/>
      </c>
      <c r="P17" s="189" t="str">
        <f>+IFERROR(IF(COUNT('Shareholding Pattern'!Q55),('Shareholding Pattern'!Q55),""),"")</f>
        <v/>
      </c>
      <c r="Q17" s="78" t="str">
        <f>+IFERROR(IF(COUNT('Shareholding Pattern'!R55),('Shareholding Pattern'!R55),""),"")</f>
        <v/>
      </c>
      <c r="R17" s="78" t="str">
        <f>+IFERROR(IF(COUNT('Shareholding Pattern'!S55),('Shareholding Pattern'!S55),""),"")</f>
        <v/>
      </c>
      <c r="S17" s="78" t="str">
        <f>+IFERROR(IF(COUNT('Shareholding Pattern'!T55),('Shareholding Pattern'!T55),""),"")</f>
        <v/>
      </c>
      <c r="T17" s="189" t="str">
        <f>+IFERROR(IF(COUNT('Shareholding Pattern'!U55),('Shareholding Pattern'!U55),""),"")</f>
        <v/>
      </c>
      <c r="U17" s="78" t="str">
        <f>+IFERROR(IF(COUNT('Shareholding Pattern'!V55),('Shareholding Pattern'!V55),""),"")</f>
        <v/>
      </c>
      <c r="V17" s="189" t="str">
        <f>+IFERROR(IF(COUNT('Shareholding Pattern'!W55),('Shareholding Pattern'!W55),""),"")</f>
        <v/>
      </c>
      <c r="W17" s="322"/>
      <c r="X17" s="323"/>
      <c r="Y17" s="78" t="str">
        <f>+IFERROR(IF(COUNT('Shareholding Pattern'!Z55),('Shareholding Pattern'!Z55),""),"")</f>
        <v/>
      </c>
    </row>
    <row r="18" spans="5:25" ht="18.75">
      <c r="E18" s="57"/>
      <c r="F18" s="69" t="s">
        <v>19</v>
      </c>
      <c r="G18" s="80">
        <f>+IFERROR(IF(COUNT('Shareholding Pattern'!H58),('Shareholding Pattern'!H58),""),"")</f>
        <v>19</v>
      </c>
      <c r="H18" s="80">
        <f>+IFERROR(IF(COUNT('Shareholding Pattern'!I58),('Shareholding Pattern'!I58),""),"")</f>
        <v>240000</v>
      </c>
      <c r="I18" s="80" t="str">
        <f>+IFERROR(IF(COUNT('Shareholding Pattern'!J58),('Shareholding Pattern'!J58),""),"")</f>
        <v/>
      </c>
      <c r="J18" s="80" t="str">
        <f>+IFERROR(IF(COUNT('Shareholding Pattern'!K58),('Shareholding Pattern'!K58),""),"")</f>
        <v/>
      </c>
      <c r="K18" s="80">
        <f>+IFERROR(IF(COUNT('Shareholding Pattern'!L58),('Shareholding Pattern'!L58),""),"")</f>
        <v>240000</v>
      </c>
      <c r="L18" s="294">
        <f>+IFERROR(IF(COUNT('Shareholding Pattern'!M58),('Shareholding Pattern'!M58),""),"")</f>
        <v>100</v>
      </c>
      <c r="M18" s="286">
        <f>+IFERROR(IF(COUNT('Shareholding Pattern'!N58),('Shareholding Pattern'!N58),""),"")</f>
        <v>240000</v>
      </c>
      <c r="N18" s="373" t="str">
        <f>+IFERROR(IF(COUNT('Shareholding Pattern'!O58),('Shareholding Pattern'!O58),""),"")</f>
        <v/>
      </c>
      <c r="O18" s="373">
        <f>+IFERROR(IF(COUNT('Shareholding Pattern'!P58),('Shareholding Pattern'!P58),""),"")</f>
        <v>240000</v>
      </c>
      <c r="P18" s="286">
        <f>+IFERROR(IF(COUNT('Shareholding Pattern'!Q58),('Shareholding Pattern'!Q58),""),"")</f>
        <v>100</v>
      </c>
      <c r="Q18" s="80" t="str">
        <f>+IFERROR(IF(COUNT('Shareholding Pattern'!R58),('Shareholding Pattern'!R58),""),"")</f>
        <v/>
      </c>
      <c r="R18" s="80" t="str">
        <f>+IFERROR(IF(COUNT('Shareholding Pattern'!S58),('Shareholding Pattern'!S58),""),"")</f>
        <v/>
      </c>
      <c r="S18" s="80" t="str">
        <f>+IFERROR(IF(COUNT('Shareholding Pattern'!T58),('Shareholding Pattern'!T58),""),"")</f>
        <v/>
      </c>
      <c r="T18" s="294">
        <f>+IFERROR(IF(COUNT('Shareholding Pattern'!U58),('Shareholding Pattern'!U58),""),"")</f>
        <v>100</v>
      </c>
      <c r="U18" s="80" t="str">
        <f>+IFERROR(IF(COUNT('Shareholding Pattern'!V58),('Shareholding Pattern'!V58),""),"")</f>
        <v/>
      </c>
      <c r="V18" s="286" t="str">
        <f>+IFERROR(IF(COUNT('Shareholding Pattern'!W58),('Shareholding Pattern'!W58),""),"")</f>
        <v/>
      </c>
      <c r="W18" s="80" t="str">
        <f>+IFERROR(IF(COUNT('Shareholding Pattern'!X58),('Shareholding Pattern'!X58),""),"")</f>
        <v/>
      </c>
      <c r="X18" s="286" t="str">
        <f>+IFERROR(IF(COUNT('Shareholding Pattern'!Y58),('Shareholding Pattern'!Y58),""),"")</f>
        <v/>
      </c>
      <c r="Y18" s="80">
        <f>+IFERROR(IF(COUNT('Shareholding Pattern'!Z58),('Shareholding Pattern'!Z58),""),"")</f>
        <v>239400</v>
      </c>
    </row>
    <row r="19" spans="5:25"/>
  </sheetData>
  <sheetProtection password="F884" sheet="1" objects="1" scenarios="1"/>
  <mergeCells count="20">
    <mergeCell ref="H10:H12"/>
    <mergeCell ref="E9:Y9"/>
    <mergeCell ref="I10:I12"/>
    <mergeCell ref="J10:J12"/>
    <mergeCell ref="U10:V11"/>
    <mergeCell ref="W10:X11"/>
    <mergeCell ref="Y10:Y12"/>
    <mergeCell ref="S10:S12"/>
    <mergeCell ref="E8:Y8"/>
    <mergeCell ref="M11:O11"/>
    <mergeCell ref="P11:P12"/>
    <mergeCell ref="K10:K12"/>
    <mergeCell ref="L10:L12"/>
    <mergeCell ref="M10:P10"/>
    <mergeCell ref="Q10:Q12"/>
    <mergeCell ref="R10:R12"/>
    <mergeCell ref="T10:T12"/>
    <mergeCell ref="E10:E12"/>
    <mergeCell ref="F10:F12"/>
    <mergeCell ref="G10:G12"/>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et35"/>
  <dimension ref="A1:E212"/>
  <sheetViews>
    <sheetView topLeftCell="A189" workbookViewId="0">
      <selection activeCell="B200" sqref="B200"/>
    </sheetView>
  </sheetViews>
  <sheetFormatPr defaultRowHeight="15"/>
  <cols>
    <col min="1" max="1" width="37.28515625" customWidth="1"/>
    <col min="2" max="2" width="55.5703125" customWidth="1"/>
    <col min="3" max="3" width="29.140625" customWidth="1"/>
    <col min="4" max="4" width="15.42578125" customWidth="1"/>
    <col min="5" max="5" width="22" customWidth="1"/>
    <col min="6" max="8" width="9.140625" customWidth="1"/>
    <col min="9" max="9" width="47.42578125" customWidth="1"/>
    <col min="10" max="24" width="9.140625" customWidth="1"/>
    <col min="25" max="25" width="14" customWidth="1"/>
  </cols>
  <sheetData>
    <row r="1" spans="1:5" ht="18.75">
      <c r="A1" s="332" t="s">
        <v>513</v>
      </c>
      <c r="B1" s="332" t="s">
        <v>251</v>
      </c>
      <c r="C1" s="332" t="s">
        <v>514</v>
      </c>
      <c r="D1" s="332" t="s">
        <v>252</v>
      </c>
      <c r="E1" s="332" t="s">
        <v>610</v>
      </c>
    </row>
    <row r="2" spans="1:5" ht="18.75">
      <c r="A2" s="342" t="s">
        <v>515</v>
      </c>
      <c r="B2" s="342"/>
      <c r="C2" s="342"/>
      <c r="D2" s="342"/>
      <c r="E2" s="342"/>
    </row>
    <row r="3" spans="1:5">
      <c r="A3" t="s">
        <v>255</v>
      </c>
      <c r="B3" t="s">
        <v>124</v>
      </c>
      <c r="C3" t="s">
        <v>256</v>
      </c>
      <c r="D3" t="s">
        <v>254</v>
      </c>
      <c r="E3" t="s">
        <v>617</v>
      </c>
    </row>
    <row r="4" spans="1:5">
      <c r="A4" t="s">
        <v>529</v>
      </c>
      <c r="B4" t="s">
        <v>508</v>
      </c>
      <c r="C4" t="s">
        <v>253</v>
      </c>
      <c r="D4" t="s">
        <v>254</v>
      </c>
    </row>
    <row r="5" spans="1:5">
      <c r="A5" t="s">
        <v>530</v>
      </c>
      <c r="B5" t="s">
        <v>509</v>
      </c>
      <c r="C5" t="s">
        <v>253</v>
      </c>
      <c r="D5" t="s">
        <v>254</v>
      </c>
    </row>
    <row r="6" spans="1:5">
      <c r="A6" t="s">
        <v>510</v>
      </c>
      <c r="B6" t="s">
        <v>510</v>
      </c>
      <c r="C6" t="s">
        <v>599</v>
      </c>
      <c r="D6" t="s">
        <v>254</v>
      </c>
    </row>
    <row r="7" spans="1:5">
      <c r="A7" t="s">
        <v>257</v>
      </c>
      <c r="B7" t="s">
        <v>123</v>
      </c>
      <c r="C7" t="s">
        <v>253</v>
      </c>
      <c r="D7" t="s">
        <v>254</v>
      </c>
      <c r="E7" t="s">
        <v>618</v>
      </c>
    </row>
    <row r="8" spans="1:5">
      <c r="A8" t="s">
        <v>605</v>
      </c>
      <c r="B8" t="s">
        <v>500</v>
      </c>
      <c r="C8" t="s">
        <v>267</v>
      </c>
      <c r="D8" t="s">
        <v>263</v>
      </c>
      <c r="E8" t="s">
        <v>619</v>
      </c>
    </row>
    <row r="9" spans="1:5">
      <c r="A9" t="s">
        <v>258</v>
      </c>
      <c r="B9" t="s">
        <v>109</v>
      </c>
      <c r="C9" t="s">
        <v>419</v>
      </c>
      <c r="D9" t="s">
        <v>254</v>
      </c>
    </row>
    <row r="10" spans="1:5">
      <c r="A10" t="s">
        <v>259</v>
      </c>
      <c r="B10" t="s">
        <v>260</v>
      </c>
      <c r="C10" t="s">
        <v>417</v>
      </c>
      <c r="D10" t="s">
        <v>254</v>
      </c>
      <c r="E10" t="s">
        <v>620</v>
      </c>
    </row>
    <row r="11" spans="1:5">
      <c r="A11" t="s">
        <v>261</v>
      </c>
      <c r="B11" t="s">
        <v>501</v>
      </c>
      <c r="C11" t="s">
        <v>262</v>
      </c>
      <c r="D11" t="s">
        <v>263</v>
      </c>
      <c r="E11" t="s">
        <v>621</v>
      </c>
    </row>
    <row r="12" spans="1:5">
      <c r="A12" t="s">
        <v>606</v>
      </c>
      <c r="B12" t="s">
        <v>606</v>
      </c>
      <c r="C12" t="s">
        <v>262</v>
      </c>
      <c r="D12" t="s">
        <v>263</v>
      </c>
      <c r="E12" t="s">
        <v>622</v>
      </c>
    </row>
    <row r="13" spans="1:5">
      <c r="A13" t="s">
        <v>607</v>
      </c>
      <c r="B13" t="s">
        <v>607</v>
      </c>
      <c r="C13" t="s">
        <v>262</v>
      </c>
      <c r="D13" t="s">
        <v>263</v>
      </c>
    </row>
    <row r="14" spans="1:5">
      <c r="A14" t="s">
        <v>516</v>
      </c>
      <c r="B14" t="s">
        <v>110</v>
      </c>
      <c r="C14" t="s">
        <v>262</v>
      </c>
      <c r="D14" t="s">
        <v>263</v>
      </c>
    </row>
    <row r="15" spans="1:5">
      <c r="A15" t="s">
        <v>264</v>
      </c>
      <c r="B15" t="s">
        <v>265</v>
      </c>
      <c r="C15" t="s">
        <v>418</v>
      </c>
      <c r="D15" t="s">
        <v>254</v>
      </c>
    </row>
    <row r="16" spans="1:5" ht="18.75">
      <c r="A16" s="342" t="s">
        <v>490</v>
      </c>
      <c r="B16" s="342"/>
      <c r="C16" s="342"/>
      <c r="D16" s="342"/>
      <c r="E16" s="342"/>
    </row>
    <row r="17" spans="1:4">
      <c r="A17" t="s">
        <v>268</v>
      </c>
      <c r="B17" t="s">
        <v>553</v>
      </c>
      <c r="C17" t="s">
        <v>267</v>
      </c>
      <c r="D17" t="s">
        <v>263</v>
      </c>
    </row>
    <row r="18" spans="1:4">
      <c r="A18" t="s">
        <v>532</v>
      </c>
      <c r="B18" t="s">
        <v>554</v>
      </c>
      <c r="C18" t="s">
        <v>267</v>
      </c>
      <c r="D18" t="s">
        <v>263</v>
      </c>
    </row>
    <row r="19" spans="1:4">
      <c r="A19" t="s">
        <v>533</v>
      </c>
      <c r="B19" t="s">
        <v>555</v>
      </c>
      <c r="C19" t="s">
        <v>267</v>
      </c>
      <c r="D19" t="s">
        <v>263</v>
      </c>
    </row>
    <row r="20" spans="1:4">
      <c r="A20" t="s">
        <v>534</v>
      </c>
      <c r="B20" t="s">
        <v>556</v>
      </c>
      <c r="C20" t="s">
        <v>267</v>
      </c>
      <c r="D20" t="s">
        <v>263</v>
      </c>
    </row>
    <row r="21" spans="1:4">
      <c r="A21" t="s">
        <v>269</v>
      </c>
      <c r="B21" t="s">
        <v>557</v>
      </c>
      <c r="C21" t="s">
        <v>267</v>
      </c>
      <c r="D21" t="s">
        <v>263</v>
      </c>
    </row>
    <row r="22" spans="1:4">
      <c r="A22" t="s">
        <v>538</v>
      </c>
      <c r="B22" t="s">
        <v>558</v>
      </c>
      <c r="C22" t="s">
        <v>267</v>
      </c>
      <c r="D22" t="s">
        <v>263</v>
      </c>
    </row>
    <row r="23" spans="1:4">
      <c r="A23" t="s">
        <v>539</v>
      </c>
      <c r="B23" t="s">
        <v>559</v>
      </c>
      <c r="C23" t="s">
        <v>267</v>
      </c>
      <c r="D23" t="s">
        <v>263</v>
      </c>
    </row>
    <row r="24" spans="1:4">
      <c r="A24" t="s">
        <v>540</v>
      </c>
      <c r="B24" t="s">
        <v>560</v>
      </c>
      <c r="C24" t="s">
        <v>267</v>
      </c>
      <c r="D24" t="s">
        <v>263</v>
      </c>
    </row>
    <row r="25" spans="1:4">
      <c r="A25" t="s">
        <v>270</v>
      </c>
      <c r="B25" t="s">
        <v>561</v>
      </c>
      <c r="C25" t="s">
        <v>267</v>
      </c>
      <c r="D25" t="s">
        <v>263</v>
      </c>
    </row>
    <row r="26" spans="1:4">
      <c r="A26" t="s">
        <v>541</v>
      </c>
      <c r="B26" t="s">
        <v>562</v>
      </c>
      <c r="C26" t="s">
        <v>267</v>
      </c>
      <c r="D26" t="s">
        <v>263</v>
      </c>
    </row>
    <row r="27" spans="1:4">
      <c r="A27" t="s">
        <v>542</v>
      </c>
      <c r="B27" t="s">
        <v>563</v>
      </c>
      <c r="C27" t="s">
        <v>267</v>
      </c>
      <c r="D27" t="s">
        <v>263</v>
      </c>
    </row>
    <row r="28" spans="1:4">
      <c r="A28" t="s">
        <v>543</v>
      </c>
      <c r="B28" t="s">
        <v>564</v>
      </c>
      <c r="C28" t="s">
        <v>267</v>
      </c>
      <c r="D28" t="s">
        <v>263</v>
      </c>
    </row>
    <row r="29" spans="1:4">
      <c r="A29" t="s">
        <v>271</v>
      </c>
      <c r="B29" t="s">
        <v>565</v>
      </c>
      <c r="C29" t="s">
        <v>267</v>
      </c>
      <c r="D29" t="s">
        <v>263</v>
      </c>
    </row>
    <row r="30" spans="1:4">
      <c r="A30" t="s">
        <v>544</v>
      </c>
      <c r="B30" t="s">
        <v>566</v>
      </c>
      <c r="C30" t="s">
        <v>267</v>
      </c>
      <c r="D30" t="s">
        <v>263</v>
      </c>
    </row>
    <row r="31" spans="1:4">
      <c r="A31" t="s">
        <v>545</v>
      </c>
      <c r="B31" t="s">
        <v>567</v>
      </c>
      <c r="C31" t="s">
        <v>267</v>
      </c>
      <c r="D31" t="s">
        <v>263</v>
      </c>
    </row>
    <row r="32" spans="1:4">
      <c r="A32" t="s">
        <v>546</v>
      </c>
      <c r="B32" t="s">
        <v>568</v>
      </c>
      <c r="C32" t="s">
        <v>267</v>
      </c>
      <c r="D32" t="s">
        <v>263</v>
      </c>
    </row>
    <row r="33" spans="1:5">
      <c r="A33" t="s">
        <v>272</v>
      </c>
      <c r="B33" t="s">
        <v>569</v>
      </c>
      <c r="C33" t="s">
        <v>267</v>
      </c>
      <c r="D33" t="s">
        <v>263</v>
      </c>
    </row>
    <row r="34" spans="1:5">
      <c r="A34" t="s">
        <v>547</v>
      </c>
      <c r="B34" t="s">
        <v>570</v>
      </c>
      <c r="C34" t="s">
        <v>267</v>
      </c>
      <c r="D34" t="s">
        <v>263</v>
      </c>
    </row>
    <row r="35" spans="1:5">
      <c r="A35" t="s">
        <v>548</v>
      </c>
      <c r="B35" t="s">
        <v>571</v>
      </c>
      <c r="C35" t="s">
        <v>267</v>
      </c>
      <c r="D35" t="s">
        <v>263</v>
      </c>
    </row>
    <row r="36" spans="1:5">
      <c r="A36" t="s">
        <v>549</v>
      </c>
      <c r="B36" t="s">
        <v>572</v>
      </c>
      <c r="C36" t="s">
        <v>267</v>
      </c>
      <c r="D36" t="s">
        <v>263</v>
      </c>
    </row>
    <row r="37" spans="1:5">
      <c r="A37" t="s">
        <v>273</v>
      </c>
      <c r="B37" t="s">
        <v>573</v>
      </c>
      <c r="C37" t="s">
        <v>267</v>
      </c>
      <c r="D37" t="s">
        <v>263</v>
      </c>
    </row>
    <row r="38" spans="1:5">
      <c r="A38" t="s">
        <v>550</v>
      </c>
      <c r="B38" t="s">
        <v>574</v>
      </c>
      <c r="C38" t="s">
        <v>267</v>
      </c>
      <c r="D38" t="s">
        <v>263</v>
      </c>
    </row>
    <row r="39" spans="1:5">
      <c r="A39" t="s">
        <v>551</v>
      </c>
      <c r="B39" t="s">
        <v>575</v>
      </c>
      <c r="C39" t="s">
        <v>267</v>
      </c>
      <c r="D39" t="s">
        <v>263</v>
      </c>
    </row>
    <row r="40" spans="1:5">
      <c r="A40" t="s">
        <v>552</v>
      </c>
      <c r="B40" t="s">
        <v>576</v>
      </c>
      <c r="C40" t="s">
        <v>267</v>
      </c>
      <c r="D40" t="s">
        <v>263</v>
      </c>
    </row>
    <row r="41" spans="1:5">
      <c r="A41" t="s">
        <v>266</v>
      </c>
      <c r="B41" t="s">
        <v>577</v>
      </c>
      <c r="C41" t="s">
        <v>267</v>
      </c>
      <c r="D41" t="s">
        <v>263</v>
      </c>
    </row>
    <row r="42" spans="1:5">
      <c r="A42" t="s">
        <v>535</v>
      </c>
      <c r="B42" t="s">
        <v>578</v>
      </c>
      <c r="C42" t="s">
        <v>267</v>
      </c>
      <c r="D42" t="s">
        <v>263</v>
      </c>
    </row>
    <row r="43" spans="1:5">
      <c r="A43" t="s">
        <v>536</v>
      </c>
      <c r="B43" t="s">
        <v>579</v>
      </c>
      <c r="C43" t="s">
        <v>267</v>
      </c>
      <c r="D43" t="s">
        <v>263</v>
      </c>
    </row>
    <row r="44" spans="1:5">
      <c r="A44" t="s">
        <v>537</v>
      </c>
      <c r="B44" t="s">
        <v>580</v>
      </c>
      <c r="C44" t="s">
        <v>267</v>
      </c>
      <c r="D44" t="s">
        <v>263</v>
      </c>
    </row>
    <row r="45" spans="1:5" ht="18.75">
      <c r="A45" s="342" t="s">
        <v>492</v>
      </c>
      <c r="B45" s="342"/>
      <c r="C45" s="342"/>
      <c r="D45" s="342"/>
      <c r="E45" s="342"/>
    </row>
    <row r="46" spans="1:5">
      <c r="A46" s="345" t="s">
        <v>301</v>
      </c>
      <c r="B46" t="s">
        <v>184</v>
      </c>
      <c r="C46" t="s">
        <v>274</v>
      </c>
      <c r="D46" t="s">
        <v>254</v>
      </c>
    </row>
    <row r="47" spans="1:5">
      <c r="A47" s="345" t="s">
        <v>302</v>
      </c>
      <c r="B47" t="s">
        <v>185</v>
      </c>
      <c r="C47" t="s">
        <v>274</v>
      </c>
      <c r="D47" t="s">
        <v>254</v>
      </c>
    </row>
    <row r="48" spans="1:5">
      <c r="A48" s="345" t="s">
        <v>303</v>
      </c>
      <c r="B48" t="s">
        <v>186</v>
      </c>
      <c r="C48" t="s">
        <v>274</v>
      </c>
      <c r="D48" t="s">
        <v>254</v>
      </c>
    </row>
    <row r="49" spans="1:4">
      <c r="A49" s="345" t="s">
        <v>304</v>
      </c>
      <c r="B49" t="s">
        <v>187</v>
      </c>
      <c r="C49" t="s">
        <v>274</v>
      </c>
      <c r="D49" t="s">
        <v>254</v>
      </c>
    </row>
    <row r="50" spans="1:4">
      <c r="A50" s="348" t="s">
        <v>300</v>
      </c>
      <c r="B50" s="349" t="s">
        <v>188</v>
      </c>
      <c r="C50" s="349" t="s">
        <v>274</v>
      </c>
      <c r="D50" s="349" t="s">
        <v>254</v>
      </c>
    </row>
    <row r="51" spans="1:4">
      <c r="A51" s="345" t="s">
        <v>306</v>
      </c>
      <c r="B51" t="s">
        <v>189</v>
      </c>
      <c r="C51" t="s">
        <v>274</v>
      </c>
      <c r="D51" t="s">
        <v>254</v>
      </c>
    </row>
    <row r="52" spans="1:4">
      <c r="A52" s="345" t="s">
        <v>614</v>
      </c>
      <c r="B52" t="s">
        <v>190</v>
      </c>
      <c r="C52" t="s">
        <v>274</v>
      </c>
      <c r="D52" t="s">
        <v>254</v>
      </c>
    </row>
    <row r="53" spans="1:4">
      <c r="A53" s="345" t="s">
        <v>615</v>
      </c>
      <c r="B53" t="s">
        <v>192</v>
      </c>
      <c r="C53" t="s">
        <v>274</v>
      </c>
      <c r="D53" t="s">
        <v>254</v>
      </c>
    </row>
    <row r="54" spans="1:4">
      <c r="A54" s="345" t="s">
        <v>616</v>
      </c>
      <c r="B54" t="s">
        <v>191</v>
      </c>
      <c r="C54" t="s">
        <v>274</v>
      </c>
      <c r="D54" t="s">
        <v>254</v>
      </c>
    </row>
    <row r="55" spans="1:4">
      <c r="A55" s="345" t="s">
        <v>307</v>
      </c>
      <c r="B55" t="s">
        <v>193</v>
      </c>
      <c r="C55" t="s">
        <v>274</v>
      </c>
      <c r="D55" t="s">
        <v>254</v>
      </c>
    </row>
    <row r="56" spans="1:4">
      <c r="A56" s="348" t="s">
        <v>305</v>
      </c>
      <c r="B56" s="349" t="s">
        <v>194</v>
      </c>
      <c r="C56" s="349" t="s">
        <v>274</v>
      </c>
      <c r="D56" s="349" t="s">
        <v>254</v>
      </c>
    </row>
    <row r="57" spans="1:4">
      <c r="A57" s="348" t="s">
        <v>608</v>
      </c>
      <c r="B57" s="349" t="s">
        <v>195</v>
      </c>
      <c r="C57" s="349" t="s">
        <v>274</v>
      </c>
      <c r="D57" s="349" t="s">
        <v>254</v>
      </c>
    </row>
    <row r="58" spans="1:4">
      <c r="A58" s="344" t="s">
        <v>309</v>
      </c>
      <c r="B58" t="s">
        <v>310</v>
      </c>
      <c r="C58" t="s">
        <v>274</v>
      </c>
      <c r="D58" t="s">
        <v>254</v>
      </c>
    </row>
    <row r="59" spans="1:4">
      <c r="A59" s="344" t="s">
        <v>311</v>
      </c>
      <c r="B59" t="s">
        <v>196</v>
      </c>
      <c r="C59" t="s">
        <v>274</v>
      </c>
      <c r="D59" t="s">
        <v>254</v>
      </c>
    </row>
    <row r="60" spans="1:4">
      <c r="A60" s="344" t="s">
        <v>312</v>
      </c>
      <c r="B60" t="s">
        <v>197</v>
      </c>
      <c r="C60" t="s">
        <v>274</v>
      </c>
      <c r="D60" t="s">
        <v>254</v>
      </c>
    </row>
    <row r="61" spans="1:4">
      <c r="A61" s="344" t="s">
        <v>313</v>
      </c>
      <c r="B61" t="s">
        <v>198</v>
      </c>
      <c r="C61" t="s">
        <v>274</v>
      </c>
      <c r="D61" t="s">
        <v>254</v>
      </c>
    </row>
    <row r="62" spans="1:4">
      <c r="A62" s="344" t="s">
        <v>314</v>
      </c>
      <c r="B62" t="s">
        <v>199</v>
      </c>
      <c r="C62" t="s">
        <v>274</v>
      </c>
      <c r="D62" t="s">
        <v>254</v>
      </c>
    </row>
    <row r="63" spans="1:4">
      <c r="A63" s="344" t="s">
        <v>315</v>
      </c>
      <c r="B63" t="s">
        <v>200</v>
      </c>
      <c r="C63" t="s">
        <v>274</v>
      </c>
      <c r="D63" t="s">
        <v>254</v>
      </c>
    </row>
    <row r="64" spans="1:4">
      <c r="A64" s="344" t="s">
        <v>316</v>
      </c>
      <c r="B64" t="s">
        <v>201</v>
      </c>
      <c r="C64" t="s">
        <v>274</v>
      </c>
      <c r="D64" t="s">
        <v>254</v>
      </c>
    </row>
    <row r="65" spans="1:4">
      <c r="A65" s="344" t="s">
        <v>317</v>
      </c>
      <c r="B65" t="s">
        <v>202</v>
      </c>
      <c r="C65" t="s">
        <v>274</v>
      </c>
      <c r="D65" t="s">
        <v>254</v>
      </c>
    </row>
    <row r="66" spans="1:4">
      <c r="A66" s="350" t="s">
        <v>318</v>
      </c>
      <c r="B66" s="349" t="s">
        <v>203</v>
      </c>
      <c r="C66" s="349" t="s">
        <v>274</v>
      </c>
      <c r="D66" s="349" t="s">
        <v>254</v>
      </c>
    </row>
    <row r="67" spans="1:4">
      <c r="A67" s="344" t="s">
        <v>308</v>
      </c>
      <c r="B67" t="s">
        <v>204</v>
      </c>
      <c r="C67" t="s">
        <v>274</v>
      </c>
      <c r="D67" t="s">
        <v>254</v>
      </c>
    </row>
    <row r="68" spans="1:4">
      <c r="A68" s="344" t="s">
        <v>319</v>
      </c>
      <c r="B68" t="s">
        <v>205</v>
      </c>
      <c r="C68" t="s">
        <v>274</v>
      </c>
      <c r="D68" t="s">
        <v>254</v>
      </c>
    </row>
    <row r="69" spans="1:4">
      <c r="A69" s="344" t="s">
        <v>430</v>
      </c>
      <c r="B69" t="s">
        <v>431</v>
      </c>
      <c r="C69" t="s">
        <v>274</v>
      </c>
      <c r="D69" t="s">
        <v>254</v>
      </c>
    </row>
    <row r="70" spans="1:4">
      <c r="A70" s="346" t="s">
        <v>321</v>
      </c>
      <c r="B70" t="s">
        <v>206</v>
      </c>
      <c r="C70" t="s">
        <v>274</v>
      </c>
      <c r="D70" t="s">
        <v>254</v>
      </c>
    </row>
    <row r="71" spans="1:4">
      <c r="A71" s="346" t="s">
        <v>322</v>
      </c>
      <c r="B71" t="s">
        <v>207</v>
      </c>
      <c r="C71" t="s">
        <v>274</v>
      </c>
      <c r="D71" t="s">
        <v>254</v>
      </c>
    </row>
    <row r="72" spans="1:4">
      <c r="A72" s="346" t="s">
        <v>323</v>
      </c>
      <c r="B72" t="s">
        <v>208</v>
      </c>
      <c r="C72" t="s">
        <v>274</v>
      </c>
      <c r="D72" t="s">
        <v>254</v>
      </c>
    </row>
    <row r="73" spans="1:4">
      <c r="A73" s="346" t="s">
        <v>324</v>
      </c>
      <c r="B73" t="s">
        <v>209</v>
      </c>
      <c r="C73" t="s">
        <v>274</v>
      </c>
      <c r="D73" t="s">
        <v>254</v>
      </c>
    </row>
    <row r="74" spans="1:4">
      <c r="A74" s="346" t="s">
        <v>325</v>
      </c>
      <c r="B74" t="s">
        <v>210</v>
      </c>
      <c r="C74" t="s">
        <v>274</v>
      </c>
      <c r="D74" t="s">
        <v>254</v>
      </c>
    </row>
    <row r="75" spans="1:4">
      <c r="A75" s="351" t="s">
        <v>326</v>
      </c>
      <c r="B75" s="349" t="s">
        <v>211</v>
      </c>
      <c r="C75" s="349" t="s">
        <v>274</v>
      </c>
      <c r="D75" s="349" t="s">
        <v>254</v>
      </c>
    </row>
    <row r="76" spans="1:4">
      <c r="A76" s="351" t="s">
        <v>320</v>
      </c>
      <c r="B76" s="349" t="s">
        <v>212</v>
      </c>
      <c r="C76" s="349" t="s">
        <v>274</v>
      </c>
      <c r="D76" s="349" t="s">
        <v>254</v>
      </c>
    </row>
    <row r="77" spans="1:4">
      <c r="A77" s="351" t="s">
        <v>275</v>
      </c>
      <c r="B77" s="349" t="s">
        <v>213</v>
      </c>
      <c r="C77" s="349" t="s">
        <v>274</v>
      </c>
      <c r="D77" s="349" t="s">
        <v>254</v>
      </c>
    </row>
    <row r="78" spans="1:4">
      <c r="A78" s="347" t="s">
        <v>276</v>
      </c>
      <c r="B78" t="s">
        <v>214</v>
      </c>
      <c r="C78" t="s">
        <v>274</v>
      </c>
      <c r="D78" t="s">
        <v>254</v>
      </c>
    </row>
    <row r="79" spans="1:4">
      <c r="A79" s="347" t="s">
        <v>277</v>
      </c>
      <c r="B79" t="s">
        <v>215</v>
      </c>
      <c r="C79" t="s">
        <v>274</v>
      </c>
      <c r="D79" t="s">
        <v>254</v>
      </c>
    </row>
    <row r="80" spans="1:4">
      <c r="A80" s="352" t="s">
        <v>327</v>
      </c>
      <c r="B80" s="349" t="s">
        <v>216</v>
      </c>
      <c r="C80" s="349" t="s">
        <v>274</v>
      </c>
      <c r="D80" s="349" t="s">
        <v>254</v>
      </c>
    </row>
    <row r="81" spans="1:5">
      <c r="A81" s="348" t="s">
        <v>609</v>
      </c>
      <c r="B81" s="349" t="s">
        <v>217</v>
      </c>
      <c r="C81" s="349" t="s">
        <v>274</v>
      </c>
      <c r="D81" s="349" t="s">
        <v>254</v>
      </c>
    </row>
    <row r="83" spans="1:5">
      <c r="A83" t="s">
        <v>278</v>
      </c>
      <c r="B83" t="s">
        <v>144</v>
      </c>
      <c r="C83" t="s">
        <v>287</v>
      </c>
      <c r="D83" t="s">
        <v>263</v>
      </c>
    </row>
    <row r="84" spans="1:5">
      <c r="A84" t="s">
        <v>279</v>
      </c>
      <c r="B84" t="s">
        <v>165</v>
      </c>
      <c r="C84" t="s">
        <v>280</v>
      </c>
      <c r="D84" t="s">
        <v>263</v>
      </c>
    </row>
    <row r="85" spans="1:5">
      <c r="A85" t="s">
        <v>281</v>
      </c>
      <c r="B85" t="s">
        <v>166</v>
      </c>
      <c r="C85" t="s">
        <v>280</v>
      </c>
      <c r="D85" t="s">
        <v>263</v>
      </c>
    </row>
    <row r="86" spans="1:5">
      <c r="A86" t="s">
        <v>282</v>
      </c>
      <c r="B86" t="s">
        <v>167</v>
      </c>
      <c r="C86" t="s">
        <v>280</v>
      </c>
      <c r="D86" t="s">
        <v>263</v>
      </c>
    </row>
    <row r="87" spans="1:5">
      <c r="A87" t="s">
        <v>283</v>
      </c>
      <c r="B87" t="s">
        <v>168</v>
      </c>
      <c r="C87" t="s">
        <v>280</v>
      </c>
      <c r="D87" t="s">
        <v>263</v>
      </c>
    </row>
    <row r="88" spans="1:5">
      <c r="A88" t="s">
        <v>284</v>
      </c>
      <c r="B88" t="s">
        <v>169</v>
      </c>
      <c r="C88" t="s">
        <v>285</v>
      </c>
      <c r="D88" t="s">
        <v>263</v>
      </c>
      <c r="E88" t="s">
        <v>623</v>
      </c>
    </row>
    <row r="89" spans="1:5">
      <c r="A89" t="s">
        <v>286</v>
      </c>
      <c r="B89" t="s">
        <v>170</v>
      </c>
      <c r="C89" t="s">
        <v>287</v>
      </c>
      <c r="D89" t="s">
        <v>263</v>
      </c>
      <c r="E89" t="s">
        <v>624</v>
      </c>
    </row>
    <row r="90" spans="1:5">
      <c r="A90" t="s">
        <v>288</v>
      </c>
      <c r="B90" t="s">
        <v>171</v>
      </c>
      <c r="C90" t="s">
        <v>287</v>
      </c>
      <c r="D90" t="s">
        <v>263</v>
      </c>
    </row>
    <row r="91" spans="1:5">
      <c r="A91" t="s">
        <v>289</v>
      </c>
      <c r="B91" t="s">
        <v>172</v>
      </c>
      <c r="C91" t="s">
        <v>287</v>
      </c>
      <c r="D91" t="s">
        <v>263</v>
      </c>
    </row>
    <row r="92" spans="1:5">
      <c r="A92" t="s">
        <v>290</v>
      </c>
      <c r="B92" t="s">
        <v>173</v>
      </c>
      <c r="C92" t="s">
        <v>285</v>
      </c>
      <c r="D92" t="s">
        <v>263</v>
      </c>
      <c r="E92" t="s">
        <v>173</v>
      </c>
    </row>
    <row r="93" spans="1:5">
      <c r="A93" t="s">
        <v>291</v>
      </c>
      <c r="B93" t="s">
        <v>174</v>
      </c>
      <c r="C93" t="s">
        <v>280</v>
      </c>
      <c r="D93" t="s">
        <v>263</v>
      </c>
    </row>
    <row r="94" spans="1:5">
      <c r="A94" t="s">
        <v>292</v>
      </c>
      <c r="B94" t="s">
        <v>175</v>
      </c>
      <c r="C94" t="s">
        <v>280</v>
      </c>
      <c r="D94" t="s">
        <v>263</v>
      </c>
    </row>
    <row r="95" spans="1:5">
      <c r="A95" t="s">
        <v>293</v>
      </c>
      <c r="B95" t="s">
        <v>176</v>
      </c>
      <c r="C95" t="s">
        <v>280</v>
      </c>
      <c r="D95" t="s">
        <v>263</v>
      </c>
    </row>
    <row r="96" spans="1:5">
      <c r="A96" t="s">
        <v>294</v>
      </c>
      <c r="B96" t="s">
        <v>177</v>
      </c>
      <c r="C96" t="s">
        <v>285</v>
      </c>
      <c r="D96" t="s">
        <v>263</v>
      </c>
      <c r="E96" t="s">
        <v>177</v>
      </c>
    </row>
    <row r="97" spans="1:5">
      <c r="A97" t="s">
        <v>295</v>
      </c>
      <c r="B97" t="s">
        <v>178</v>
      </c>
      <c r="C97" t="s">
        <v>280</v>
      </c>
      <c r="D97" t="s">
        <v>263</v>
      </c>
      <c r="E97" t="s">
        <v>625</v>
      </c>
    </row>
    <row r="98" spans="1:5">
      <c r="A98" t="s">
        <v>296</v>
      </c>
      <c r="B98" t="s">
        <v>179</v>
      </c>
      <c r="C98" t="s">
        <v>285</v>
      </c>
      <c r="D98" t="s">
        <v>263</v>
      </c>
      <c r="E98" t="s">
        <v>179</v>
      </c>
    </row>
    <row r="99" spans="1:5">
      <c r="A99" t="s">
        <v>297</v>
      </c>
      <c r="B99" t="s">
        <v>180</v>
      </c>
      <c r="C99" t="s">
        <v>280</v>
      </c>
      <c r="D99" t="s">
        <v>263</v>
      </c>
      <c r="E99" t="s">
        <v>625</v>
      </c>
    </row>
    <row r="100" spans="1:5">
      <c r="A100" t="s">
        <v>298</v>
      </c>
      <c r="B100" t="s">
        <v>181</v>
      </c>
      <c r="C100" t="s">
        <v>285</v>
      </c>
      <c r="D100" t="s">
        <v>263</v>
      </c>
      <c r="E100" t="s">
        <v>181</v>
      </c>
    </row>
    <row r="101" spans="1:5">
      <c r="A101" t="s">
        <v>299</v>
      </c>
      <c r="B101" t="s">
        <v>182</v>
      </c>
      <c r="C101" t="s">
        <v>280</v>
      </c>
      <c r="D101" t="s">
        <v>263</v>
      </c>
      <c r="E101" t="s">
        <v>625</v>
      </c>
    </row>
    <row r="102" spans="1:5">
      <c r="A102" t="s">
        <v>438</v>
      </c>
      <c r="B102" t="s">
        <v>183</v>
      </c>
      <c r="C102" t="s">
        <v>453</v>
      </c>
      <c r="D102" t="s">
        <v>263</v>
      </c>
    </row>
    <row r="103" spans="1:5">
      <c r="A103" t="s">
        <v>584</v>
      </c>
      <c r="B103" t="s">
        <v>587</v>
      </c>
      <c r="C103" t="s">
        <v>453</v>
      </c>
      <c r="D103" t="s">
        <v>263</v>
      </c>
      <c r="E103" t="s">
        <v>611</v>
      </c>
    </row>
    <row r="104" spans="1:5">
      <c r="A104" t="s">
        <v>585</v>
      </c>
      <c r="B104" t="s">
        <v>588</v>
      </c>
      <c r="C104" t="s">
        <v>453</v>
      </c>
      <c r="D104" t="s">
        <v>263</v>
      </c>
      <c r="E104" t="s">
        <v>612</v>
      </c>
    </row>
    <row r="105" spans="1:5">
      <c r="A105" t="s">
        <v>586</v>
      </c>
      <c r="B105" t="s">
        <v>589</v>
      </c>
      <c r="C105" t="s">
        <v>453</v>
      </c>
      <c r="D105" t="s">
        <v>263</v>
      </c>
    </row>
    <row r="106" spans="1:5" ht="18.75">
      <c r="A106" s="342" t="s">
        <v>511</v>
      </c>
      <c r="B106" s="342"/>
      <c r="C106" s="342"/>
      <c r="D106" s="342"/>
      <c r="E106" s="342"/>
    </row>
    <row r="107" spans="1:5">
      <c r="A107" t="s">
        <v>329</v>
      </c>
      <c r="B107" t="s">
        <v>249</v>
      </c>
      <c r="C107" t="s">
        <v>253</v>
      </c>
      <c r="D107" t="s">
        <v>254</v>
      </c>
    </row>
    <row r="108" spans="1:5">
      <c r="A108" t="s">
        <v>421</v>
      </c>
      <c r="B108" t="s">
        <v>420</v>
      </c>
      <c r="C108" t="s">
        <v>422</v>
      </c>
      <c r="D108" t="s">
        <v>254</v>
      </c>
      <c r="E108" t="s">
        <v>627</v>
      </c>
    </row>
    <row r="109" spans="1:5">
      <c r="A109" t="s">
        <v>279</v>
      </c>
      <c r="B109" t="s">
        <v>165</v>
      </c>
      <c r="C109" t="s">
        <v>280</v>
      </c>
      <c r="D109" t="s">
        <v>263</v>
      </c>
    </row>
    <row r="110" spans="1:5">
      <c r="A110" t="s">
        <v>281</v>
      </c>
      <c r="B110" t="s">
        <v>166</v>
      </c>
      <c r="C110" t="s">
        <v>280</v>
      </c>
      <c r="D110" t="s">
        <v>263</v>
      </c>
    </row>
    <row r="111" spans="1:5">
      <c r="A111" t="s">
        <v>282</v>
      </c>
      <c r="B111" t="s">
        <v>167</v>
      </c>
      <c r="C111" t="s">
        <v>280</v>
      </c>
      <c r="D111" t="s">
        <v>263</v>
      </c>
    </row>
    <row r="112" spans="1:5">
      <c r="A112" t="s">
        <v>283</v>
      </c>
      <c r="B112" t="s">
        <v>168</v>
      </c>
      <c r="C112" t="s">
        <v>280</v>
      </c>
      <c r="D112" t="s">
        <v>263</v>
      </c>
    </row>
    <row r="113" spans="1:5">
      <c r="A113" t="s">
        <v>284</v>
      </c>
      <c r="B113" t="s">
        <v>169</v>
      </c>
      <c r="C113" t="s">
        <v>285</v>
      </c>
      <c r="D113" t="s">
        <v>263</v>
      </c>
      <c r="E113" t="s">
        <v>623</v>
      </c>
    </row>
    <row r="114" spans="1:5">
      <c r="A114" t="s">
        <v>286</v>
      </c>
      <c r="B114" t="s">
        <v>170</v>
      </c>
      <c r="C114" t="s">
        <v>287</v>
      </c>
      <c r="D114" t="s">
        <v>263</v>
      </c>
      <c r="E114" t="s">
        <v>624</v>
      </c>
    </row>
    <row r="115" spans="1:5">
      <c r="A115" t="s">
        <v>288</v>
      </c>
      <c r="B115" t="s">
        <v>171</v>
      </c>
      <c r="C115" t="s">
        <v>287</v>
      </c>
      <c r="D115" t="s">
        <v>263</v>
      </c>
    </row>
    <row r="116" spans="1:5">
      <c r="A116" t="s">
        <v>289</v>
      </c>
      <c r="B116" t="s">
        <v>172</v>
      </c>
      <c r="C116" t="s">
        <v>287</v>
      </c>
      <c r="D116" t="s">
        <v>263</v>
      </c>
    </row>
    <row r="117" spans="1:5">
      <c r="A117" t="s">
        <v>290</v>
      </c>
      <c r="B117" t="s">
        <v>173</v>
      </c>
      <c r="C117" t="s">
        <v>285</v>
      </c>
      <c r="D117" t="s">
        <v>263</v>
      </c>
      <c r="E117" t="s">
        <v>173</v>
      </c>
    </row>
    <row r="118" spans="1:5">
      <c r="A118" t="s">
        <v>291</v>
      </c>
      <c r="B118" t="s">
        <v>174</v>
      </c>
      <c r="C118" t="s">
        <v>280</v>
      </c>
      <c r="D118" t="s">
        <v>263</v>
      </c>
    </row>
    <row r="119" spans="1:5">
      <c r="A119" t="s">
        <v>292</v>
      </c>
      <c r="B119" t="s">
        <v>175</v>
      </c>
      <c r="C119" t="s">
        <v>280</v>
      </c>
      <c r="D119" t="s">
        <v>263</v>
      </c>
    </row>
    <row r="120" spans="1:5">
      <c r="A120" t="s">
        <v>293</v>
      </c>
      <c r="B120" t="s">
        <v>176</v>
      </c>
      <c r="C120" t="s">
        <v>280</v>
      </c>
      <c r="D120" t="s">
        <v>263</v>
      </c>
    </row>
    <row r="121" spans="1:5">
      <c r="A121" t="s">
        <v>294</v>
      </c>
      <c r="B121" t="s">
        <v>177</v>
      </c>
      <c r="C121" t="s">
        <v>285</v>
      </c>
      <c r="D121" t="s">
        <v>263</v>
      </c>
      <c r="E121" t="s">
        <v>177</v>
      </c>
    </row>
    <row r="122" spans="1:5">
      <c r="A122" t="s">
        <v>295</v>
      </c>
      <c r="B122" t="s">
        <v>178</v>
      </c>
      <c r="C122" t="s">
        <v>280</v>
      </c>
      <c r="D122" t="s">
        <v>263</v>
      </c>
      <c r="E122" t="s">
        <v>625</v>
      </c>
    </row>
    <row r="123" spans="1:5">
      <c r="A123" t="s">
        <v>296</v>
      </c>
      <c r="B123" t="s">
        <v>179</v>
      </c>
      <c r="C123" t="s">
        <v>285</v>
      </c>
      <c r="D123" t="s">
        <v>263</v>
      </c>
      <c r="E123" t="s">
        <v>179</v>
      </c>
    </row>
    <row r="124" spans="1:5">
      <c r="A124" t="s">
        <v>297</v>
      </c>
      <c r="B124" t="s">
        <v>180</v>
      </c>
      <c r="C124" t="s">
        <v>280</v>
      </c>
      <c r="D124" t="s">
        <v>263</v>
      </c>
      <c r="E124" t="s">
        <v>625</v>
      </c>
    </row>
    <row r="125" spans="1:5">
      <c r="A125" t="s">
        <v>298</v>
      </c>
      <c r="B125" t="s">
        <v>181</v>
      </c>
      <c r="C125" t="s">
        <v>285</v>
      </c>
      <c r="D125" t="s">
        <v>263</v>
      </c>
      <c r="E125" t="s">
        <v>181</v>
      </c>
    </row>
    <row r="126" spans="1:5">
      <c r="A126" t="s">
        <v>299</v>
      </c>
      <c r="B126" t="s">
        <v>182</v>
      </c>
      <c r="C126" t="s">
        <v>280</v>
      </c>
      <c r="D126" t="s">
        <v>263</v>
      </c>
      <c r="E126" t="s">
        <v>626</v>
      </c>
    </row>
    <row r="127" spans="1:5">
      <c r="A127" t="s">
        <v>582</v>
      </c>
      <c r="B127" t="s">
        <v>499</v>
      </c>
      <c r="C127" t="s">
        <v>453</v>
      </c>
      <c r="D127" t="s">
        <v>263</v>
      </c>
      <c r="E127" t="s">
        <v>628</v>
      </c>
    </row>
    <row r="128" spans="1:5">
      <c r="A128" t="s">
        <v>581</v>
      </c>
      <c r="B128" t="s">
        <v>517</v>
      </c>
      <c r="C128" t="s">
        <v>600</v>
      </c>
      <c r="D128" t="s">
        <v>254</v>
      </c>
      <c r="E128" t="s">
        <v>613</v>
      </c>
    </row>
    <row r="129" spans="1:5">
      <c r="A129" t="s">
        <v>370</v>
      </c>
      <c r="B129" t="s">
        <v>347</v>
      </c>
      <c r="C129" t="s">
        <v>423</v>
      </c>
      <c r="D129" t="s">
        <v>254</v>
      </c>
    </row>
    <row r="130" spans="1:5">
      <c r="A130" t="s">
        <v>583</v>
      </c>
      <c r="B130" t="s">
        <v>348</v>
      </c>
      <c r="C130" t="s">
        <v>601</v>
      </c>
      <c r="D130" t="s">
        <v>254</v>
      </c>
    </row>
    <row r="131" spans="1:5">
      <c r="A131" t="s">
        <v>436</v>
      </c>
      <c r="B131" t="s">
        <v>435</v>
      </c>
      <c r="C131" t="s">
        <v>602</v>
      </c>
      <c r="D131" t="s">
        <v>254</v>
      </c>
    </row>
    <row r="132" spans="1:5">
      <c r="A132" t="s">
        <v>278</v>
      </c>
      <c r="B132" t="s">
        <v>144</v>
      </c>
      <c r="C132" t="s">
        <v>287</v>
      </c>
      <c r="D132" t="s">
        <v>263</v>
      </c>
    </row>
    <row r="133" spans="1:5" ht="18.75">
      <c r="A133" s="342" t="s">
        <v>512</v>
      </c>
      <c r="B133" s="342"/>
      <c r="C133" s="342"/>
      <c r="D133" s="342"/>
      <c r="E133" s="342"/>
    </row>
    <row r="134" spans="1:5">
      <c r="A134" t="s">
        <v>329</v>
      </c>
      <c r="B134" t="s">
        <v>249</v>
      </c>
      <c r="C134" t="s">
        <v>253</v>
      </c>
      <c r="D134" t="s">
        <v>254</v>
      </c>
    </row>
    <row r="135" spans="1:5">
      <c r="A135" t="s">
        <v>421</v>
      </c>
      <c r="B135" t="s">
        <v>420</v>
      </c>
      <c r="C135" t="s">
        <v>422</v>
      </c>
      <c r="D135" t="s">
        <v>254</v>
      </c>
      <c r="E135" t="s">
        <v>627</v>
      </c>
    </row>
    <row r="136" spans="1:5">
      <c r="A136" t="s">
        <v>279</v>
      </c>
      <c r="B136" t="s">
        <v>165</v>
      </c>
      <c r="C136" t="s">
        <v>280</v>
      </c>
      <c r="D136" t="s">
        <v>263</v>
      </c>
    </row>
    <row r="137" spans="1:5">
      <c r="A137" t="s">
        <v>281</v>
      </c>
      <c r="B137" t="s">
        <v>166</v>
      </c>
      <c r="C137" t="s">
        <v>280</v>
      </c>
      <c r="D137" t="s">
        <v>263</v>
      </c>
    </row>
    <row r="138" spans="1:5">
      <c r="A138" t="s">
        <v>282</v>
      </c>
      <c r="B138" t="s">
        <v>167</v>
      </c>
      <c r="C138" t="s">
        <v>280</v>
      </c>
      <c r="D138" t="s">
        <v>263</v>
      </c>
    </row>
    <row r="139" spans="1:5">
      <c r="A139" t="s">
        <v>283</v>
      </c>
      <c r="B139" t="s">
        <v>168</v>
      </c>
      <c r="C139" t="s">
        <v>280</v>
      </c>
      <c r="D139" t="s">
        <v>263</v>
      </c>
    </row>
    <row r="140" spans="1:5">
      <c r="A140" t="s">
        <v>284</v>
      </c>
      <c r="B140" t="s">
        <v>169</v>
      </c>
      <c r="C140" t="s">
        <v>285</v>
      </c>
      <c r="D140" t="s">
        <v>263</v>
      </c>
      <c r="E140" t="s">
        <v>623</v>
      </c>
    </row>
    <row r="141" spans="1:5">
      <c r="A141" t="s">
        <v>286</v>
      </c>
      <c r="B141" t="s">
        <v>170</v>
      </c>
      <c r="C141" t="s">
        <v>287</v>
      </c>
      <c r="D141" t="s">
        <v>263</v>
      </c>
      <c r="E141" t="s">
        <v>624</v>
      </c>
    </row>
    <row r="142" spans="1:5">
      <c r="A142" t="s">
        <v>288</v>
      </c>
      <c r="B142" t="s">
        <v>171</v>
      </c>
      <c r="C142" t="s">
        <v>287</v>
      </c>
      <c r="D142" t="s">
        <v>263</v>
      </c>
    </row>
    <row r="143" spans="1:5">
      <c r="A143" t="s">
        <v>289</v>
      </c>
      <c r="B143" t="s">
        <v>172</v>
      </c>
      <c r="C143" t="s">
        <v>287</v>
      </c>
      <c r="D143" t="s">
        <v>263</v>
      </c>
    </row>
    <row r="144" spans="1:5">
      <c r="A144" t="s">
        <v>290</v>
      </c>
      <c r="B144" t="s">
        <v>173</v>
      </c>
      <c r="C144" t="s">
        <v>285</v>
      </c>
      <c r="D144" t="s">
        <v>263</v>
      </c>
      <c r="E144" t="s">
        <v>173</v>
      </c>
    </row>
    <row r="145" spans="1:5">
      <c r="A145" t="s">
        <v>291</v>
      </c>
      <c r="B145" t="s">
        <v>174</v>
      </c>
      <c r="C145" t="s">
        <v>280</v>
      </c>
      <c r="D145" t="s">
        <v>263</v>
      </c>
    </row>
    <row r="146" spans="1:5">
      <c r="A146" t="s">
        <v>292</v>
      </c>
      <c r="B146" t="s">
        <v>175</v>
      </c>
      <c r="C146" t="s">
        <v>280</v>
      </c>
      <c r="D146" t="s">
        <v>263</v>
      </c>
    </row>
    <row r="147" spans="1:5">
      <c r="A147" t="s">
        <v>293</v>
      </c>
      <c r="B147" t="s">
        <v>176</v>
      </c>
      <c r="C147" t="s">
        <v>280</v>
      </c>
      <c r="D147" t="s">
        <v>263</v>
      </c>
    </row>
    <row r="148" spans="1:5">
      <c r="A148" t="s">
        <v>294</v>
      </c>
      <c r="B148" t="s">
        <v>177</v>
      </c>
      <c r="C148" t="s">
        <v>285</v>
      </c>
      <c r="D148" t="s">
        <v>263</v>
      </c>
      <c r="E148" t="s">
        <v>177</v>
      </c>
    </row>
    <row r="149" spans="1:5">
      <c r="A149" t="s">
        <v>295</v>
      </c>
      <c r="B149" t="s">
        <v>178</v>
      </c>
      <c r="C149" t="s">
        <v>280</v>
      </c>
      <c r="D149" t="s">
        <v>263</v>
      </c>
      <c r="E149" t="s">
        <v>625</v>
      </c>
    </row>
    <row r="150" spans="1:5">
      <c r="A150" t="s">
        <v>296</v>
      </c>
      <c r="B150" t="s">
        <v>179</v>
      </c>
      <c r="C150" t="s">
        <v>285</v>
      </c>
      <c r="D150" t="s">
        <v>263</v>
      </c>
      <c r="E150" t="s">
        <v>179</v>
      </c>
    </row>
    <row r="151" spans="1:5">
      <c r="A151" t="s">
        <v>299</v>
      </c>
      <c r="B151" t="s">
        <v>182</v>
      </c>
      <c r="C151" t="s">
        <v>280</v>
      </c>
      <c r="D151" t="s">
        <v>263</v>
      </c>
      <c r="E151" t="s">
        <v>626</v>
      </c>
    </row>
    <row r="152" spans="1:5">
      <c r="A152" t="s">
        <v>375</v>
      </c>
      <c r="B152" t="s">
        <v>349</v>
      </c>
      <c r="C152" t="s">
        <v>424</v>
      </c>
      <c r="D152" t="s">
        <v>254</v>
      </c>
    </row>
    <row r="153" spans="1:5">
      <c r="A153" t="s">
        <v>378</v>
      </c>
      <c r="B153" t="s">
        <v>350</v>
      </c>
      <c r="C153" t="s">
        <v>425</v>
      </c>
      <c r="D153" t="s">
        <v>254</v>
      </c>
    </row>
    <row r="154" spans="1:5">
      <c r="A154" t="s">
        <v>436</v>
      </c>
      <c r="B154" t="s">
        <v>435</v>
      </c>
      <c r="C154" t="s">
        <v>602</v>
      </c>
      <c r="D154" t="s">
        <v>254</v>
      </c>
    </row>
    <row r="155" spans="1:5">
      <c r="A155" t="s">
        <v>278</v>
      </c>
      <c r="B155" t="s">
        <v>144</v>
      </c>
      <c r="C155" t="s">
        <v>287</v>
      </c>
      <c r="D155" t="s">
        <v>263</v>
      </c>
    </row>
    <row r="156" spans="1:5">
      <c r="A156" t="s">
        <v>582</v>
      </c>
      <c r="B156" t="s">
        <v>499</v>
      </c>
      <c r="C156" t="s">
        <v>453</v>
      </c>
      <c r="D156" t="s">
        <v>263</v>
      </c>
      <c r="E156" t="s">
        <v>628</v>
      </c>
    </row>
    <row r="157" spans="1:5" ht="18.75">
      <c r="A157" s="342" t="s">
        <v>518</v>
      </c>
      <c r="B157" s="342"/>
      <c r="C157" s="342"/>
      <c r="D157" s="342"/>
      <c r="E157" s="342"/>
    </row>
    <row r="158" spans="1:5">
      <c r="A158" t="s">
        <v>380</v>
      </c>
      <c r="B158" t="s">
        <v>351</v>
      </c>
      <c r="C158" t="s">
        <v>603</v>
      </c>
      <c r="D158" t="s">
        <v>254</v>
      </c>
    </row>
    <row r="159" spans="1:5">
      <c r="A159" t="s">
        <v>381</v>
      </c>
      <c r="B159" t="s">
        <v>352</v>
      </c>
      <c r="C159" t="s">
        <v>253</v>
      </c>
      <c r="D159" t="s">
        <v>254</v>
      </c>
    </row>
    <row r="160" spans="1:5">
      <c r="A160" t="s">
        <v>329</v>
      </c>
      <c r="B160" t="s">
        <v>249</v>
      </c>
      <c r="C160" t="s">
        <v>253</v>
      </c>
      <c r="D160" t="s">
        <v>254</v>
      </c>
    </row>
    <row r="161" spans="1:5">
      <c r="A161" t="s">
        <v>421</v>
      </c>
      <c r="B161" t="s">
        <v>420</v>
      </c>
      <c r="C161" t="s">
        <v>422</v>
      </c>
      <c r="D161" t="s">
        <v>254</v>
      </c>
      <c r="E161" t="s">
        <v>627</v>
      </c>
    </row>
    <row r="162" spans="1:5">
      <c r="A162" t="s">
        <v>278</v>
      </c>
      <c r="B162" t="s">
        <v>144</v>
      </c>
      <c r="C162" t="s">
        <v>287</v>
      </c>
      <c r="D162" t="s">
        <v>263</v>
      </c>
    </row>
    <row r="163" spans="1:5">
      <c r="A163" t="s">
        <v>279</v>
      </c>
      <c r="B163" t="s">
        <v>165</v>
      </c>
      <c r="C163" t="s">
        <v>280</v>
      </c>
      <c r="D163" t="s">
        <v>263</v>
      </c>
    </row>
    <row r="164" spans="1:5">
      <c r="A164" t="s">
        <v>281</v>
      </c>
      <c r="B164" t="s">
        <v>166</v>
      </c>
      <c r="C164" t="s">
        <v>280</v>
      </c>
      <c r="D164" t="s">
        <v>263</v>
      </c>
    </row>
    <row r="165" spans="1:5">
      <c r="A165" t="s">
        <v>282</v>
      </c>
      <c r="B165" t="s">
        <v>167</v>
      </c>
      <c r="C165" t="s">
        <v>280</v>
      </c>
      <c r="D165" t="s">
        <v>263</v>
      </c>
    </row>
    <row r="166" spans="1:5">
      <c r="A166" t="s">
        <v>283</v>
      </c>
      <c r="B166" t="s">
        <v>168</v>
      </c>
      <c r="C166" t="s">
        <v>280</v>
      </c>
      <c r="D166" t="s">
        <v>263</v>
      </c>
    </row>
    <row r="167" spans="1:5">
      <c r="A167" t="s">
        <v>284</v>
      </c>
      <c r="B167" t="s">
        <v>169</v>
      </c>
      <c r="C167" t="s">
        <v>285</v>
      </c>
      <c r="D167" t="s">
        <v>263</v>
      </c>
      <c r="E167" t="s">
        <v>623</v>
      </c>
    </row>
    <row r="168" spans="1:5">
      <c r="A168" t="s">
        <v>286</v>
      </c>
      <c r="B168" t="s">
        <v>170</v>
      </c>
      <c r="C168" t="s">
        <v>287</v>
      </c>
      <c r="D168" t="s">
        <v>263</v>
      </c>
      <c r="E168" t="s">
        <v>624</v>
      </c>
    </row>
    <row r="169" spans="1:5">
      <c r="A169" t="s">
        <v>288</v>
      </c>
      <c r="B169" t="s">
        <v>171</v>
      </c>
      <c r="C169" t="s">
        <v>287</v>
      </c>
      <c r="D169" t="s">
        <v>263</v>
      </c>
    </row>
    <row r="170" spans="1:5">
      <c r="A170" t="s">
        <v>289</v>
      </c>
      <c r="B170" t="s">
        <v>172</v>
      </c>
      <c r="C170" t="s">
        <v>287</v>
      </c>
      <c r="D170" t="s">
        <v>263</v>
      </c>
    </row>
    <row r="171" spans="1:5">
      <c r="A171" t="s">
        <v>290</v>
      </c>
      <c r="B171" t="s">
        <v>173</v>
      </c>
      <c r="C171" t="s">
        <v>285</v>
      </c>
      <c r="D171" t="s">
        <v>263</v>
      </c>
      <c r="E171" t="s">
        <v>173</v>
      </c>
    </row>
    <row r="172" spans="1:5">
      <c r="A172" t="s">
        <v>291</v>
      </c>
      <c r="B172" t="s">
        <v>174</v>
      </c>
      <c r="C172" t="s">
        <v>280</v>
      </c>
      <c r="D172" t="s">
        <v>263</v>
      </c>
    </row>
    <row r="173" spans="1:5">
      <c r="A173" t="s">
        <v>292</v>
      </c>
      <c r="B173" t="s">
        <v>175</v>
      </c>
      <c r="C173" t="s">
        <v>280</v>
      </c>
      <c r="D173" t="s">
        <v>263</v>
      </c>
    </row>
    <row r="174" spans="1:5">
      <c r="A174" t="s">
        <v>293</v>
      </c>
      <c r="B174" t="s">
        <v>176</v>
      </c>
      <c r="C174" t="s">
        <v>280</v>
      </c>
      <c r="D174" t="s">
        <v>263</v>
      </c>
    </row>
    <row r="175" spans="1:5">
      <c r="A175" t="s">
        <v>294</v>
      </c>
      <c r="B175" t="s">
        <v>177</v>
      </c>
      <c r="C175" t="s">
        <v>285</v>
      </c>
      <c r="D175" t="s">
        <v>263</v>
      </c>
      <c r="E175" t="s">
        <v>177</v>
      </c>
    </row>
    <row r="176" spans="1:5">
      <c r="A176" t="s">
        <v>295</v>
      </c>
      <c r="B176" t="s">
        <v>178</v>
      </c>
      <c r="C176" t="s">
        <v>280</v>
      </c>
      <c r="D176" t="s">
        <v>263</v>
      </c>
      <c r="E176" t="s">
        <v>625</v>
      </c>
    </row>
    <row r="177" spans="1:5">
      <c r="A177" t="s">
        <v>296</v>
      </c>
      <c r="B177" t="s">
        <v>179</v>
      </c>
      <c r="C177" t="s">
        <v>285</v>
      </c>
      <c r="D177" t="s">
        <v>263</v>
      </c>
      <c r="E177" t="s">
        <v>179</v>
      </c>
    </row>
    <row r="178" spans="1:5">
      <c r="A178" t="s">
        <v>299</v>
      </c>
      <c r="B178" t="s">
        <v>182</v>
      </c>
      <c r="C178" t="s">
        <v>280</v>
      </c>
      <c r="D178" t="s">
        <v>263</v>
      </c>
      <c r="E178" t="s">
        <v>626</v>
      </c>
    </row>
    <row r="179" spans="1:5">
      <c r="A179" t="s">
        <v>582</v>
      </c>
      <c r="B179" t="s">
        <v>499</v>
      </c>
      <c r="C179" t="s">
        <v>453</v>
      </c>
      <c r="D179" t="s">
        <v>263</v>
      </c>
      <c r="E179" t="s">
        <v>628</v>
      </c>
    </row>
    <row r="180" spans="1:5" ht="18.75">
      <c r="A180" s="342" t="s">
        <v>590</v>
      </c>
      <c r="B180" s="342"/>
      <c r="C180" s="342"/>
      <c r="D180" s="342"/>
      <c r="E180" s="342"/>
    </row>
    <row r="181" spans="1:5">
      <c r="A181" t="s">
        <v>278</v>
      </c>
      <c r="B181" t="s">
        <v>144</v>
      </c>
      <c r="C181" t="s">
        <v>287</v>
      </c>
      <c r="D181" t="s">
        <v>263</v>
      </c>
    </row>
    <row r="182" spans="1:5">
      <c r="A182" t="s">
        <v>591</v>
      </c>
      <c r="B182" t="s">
        <v>145</v>
      </c>
      <c r="C182" t="s">
        <v>280</v>
      </c>
      <c r="D182" t="s">
        <v>263</v>
      </c>
      <c r="E182" t="s">
        <v>637</v>
      </c>
    </row>
    <row r="183" spans="1:5">
      <c r="A183" t="s">
        <v>592</v>
      </c>
      <c r="B183" t="s">
        <v>149</v>
      </c>
      <c r="C183" t="s">
        <v>287</v>
      </c>
      <c r="D183" t="s">
        <v>263</v>
      </c>
    </row>
    <row r="184" spans="1:5">
      <c r="A184" t="s">
        <v>593</v>
      </c>
      <c r="B184" t="s">
        <v>385</v>
      </c>
      <c r="C184" t="s">
        <v>453</v>
      </c>
      <c r="D184" t="s">
        <v>263</v>
      </c>
    </row>
    <row r="185" spans="1:5" ht="18.75">
      <c r="A185" s="342" t="s">
        <v>594</v>
      </c>
      <c r="B185" s="342"/>
      <c r="C185" s="342"/>
      <c r="D185" s="342"/>
      <c r="E185" s="342"/>
    </row>
    <row r="186" spans="1:5">
      <c r="A186" t="s">
        <v>329</v>
      </c>
      <c r="B186" t="s">
        <v>604</v>
      </c>
      <c r="C186" t="s">
        <v>253</v>
      </c>
      <c r="D186" t="s">
        <v>254</v>
      </c>
    </row>
    <row r="187" spans="1:5">
      <c r="A187" t="s">
        <v>595</v>
      </c>
      <c r="B187" t="s">
        <v>146</v>
      </c>
      <c r="C187" t="s">
        <v>253</v>
      </c>
      <c r="D187" t="s">
        <v>254</v>
      </c>
    </row>
    <row r="188" spans="1:5">
      <c r="A188" t="s">
        <v>283</v>
      </c>
      <c r="B188" t="s">
        <v>147</v>
      </c>
      <c r="C188" t="s">
        <v>280</v>
      </c>
      <c r="D188" t="s">
        <v>263</v>
      </c>
      <c r="E188" t="s">
        <v>638</v>
      </c>
    </row>
    <row r="189" spans="1:5">
      <c r="A189" t="s">
        <v>596</v>
      </c>
      <c r="B189" t="s">
        <v>148</v>
      </c>
      <c r="C189" t="s">
        <v>285</v>
      </c>
      <c r="D189" t="s">
        <v>263</v>
      </c>
    </row>
    <row r="190" spans="1:5" ht="18.75">
      <c r="A190" s="342" t="s">
        <v>597</v>
      </c>
      <c r="B190" s="342"/>
      <c r="C190" s="342"/>
      <c r="D190" s="342"/>
      <c r="E190" s="342"/>
    </row>
    <row r="191" spans="1:5">
      <c r="A191" t="s">
        <v>278</v>
      </c>
      <c r="B191" t="s">
        <v>144</v>
      </c>
      <c r="C191" t="s">
        <v>287</v>
      </c>
      <c r="D191" t="s">
        <v>263</v>
      </c>
    </row>
    <row r="192" spans="1:5">
      <c r="A192" t="s">
        <v>591</v>
      </c>
      <c r="B192" t="s">
        <v>145</v>
      </c>
      <c r="C192" t="s">
        <v>280</v>
      </c>
      <c r="D192" t="s">
        <v>263</v>
      </c>
      <c r="E192" t="s">
        <v>637</v>
      </c>
    </row>
    <row r="193" spans="1:5">
      <c r="A193" t="s">
        <v>592</v>
      </c>
      <c r="B193" t="s">
        <v>383</v>
      </c>
      <c r="C193" t="s">
        <v>287</v>
      </c>
      <c r="D193" t="s">
        <v>263</v>
      </c>
    </row>
    <row r="194" spans="1:5">
      <c r="A194" t="s">
        <v>598</v>
      </c>
      <c r="B194" t="s">
        <v>384</v>
      </c>
      <c r="C194" t="s">
        <v>453</v>
      </c>
      <c r="D194" t="s">
        <v>263</v>
      </c>
    </row>
    <row r="195" spans="1:5" ht="18.75">
      <c r="A195" s="342" t="s">
        <v>674</v>
      </c>
      <c r="B195" s="342"/>
      <c r="C195" s="342"/>
      <c r="D195" s="342"/>
      <c r="E195" s="342"/>
    </row>
    <row r="196" spans="1:5">
      <c r="A196" t="s">
        <v>694</v>
      </c>
      <c r="B196" t="s">
        <v>679</v>
      </c>
      <c r="C196" t="s">
        <v>253</v>
      </c>
      <c r="D196" t="s">
        <v>254</v>
      </c>
    </row>
    <row r="197" spans="1:5">
      <c r="A197" t="s">
        <v>695</v>
      </c>
      <c r="B197" t="s">
        <v>680</v>
      </c>
      <c r="C197" t="s">
        <v>422</v>
      </c>
      <c r="D197" t="s">
        <v>254</v>
      </c>
      <c r="E197" t="s">
        <v>627</v>
      </c>
    </row>
    <row r="198" spans="1:5">
      <c r="A198" t="s">
        <v>696</v>
      </c>
      <c r="B198" t="s">
        <v>681</v>
      </c>
      <c r="C198" t="s">
        <v>253</v>
      </c>
      <c r="D198" t="s">
        <v>254</v>
      </c>
    </row>
    <row r="199" spans="1:5">
      <c r="A199" t="s">
        <v>697</v>
      </c>
      <c r="B199" t="s">
        <v>682</v>
      </c>
      <c r="C199" t="s">
        <v>253</v>
      </c>
      <c r="D199" t="s">
        <v>254</v>
      </c>
    </row>
    <row r="200" spans="1:5">
      <c r="A200" t="s">
        <v>698</v>
      </c>
      <c r="B200" t="s">
        <v>683</v>
      </c>
      <c r="C200" t="s">
        <v>253</v>
      </c>
      <c r="D200" t="s">
        <v>254</v>
      </c>
    </row>
    <row r="201" spans="1:5">
      <c r="A201" t="s">
        <v>676</v>
      </c>
      <c r="B201" t="s">
        <v>684</v>
      </c>
      <c r="C201" t="s">
        <v>253</v>
      </c>
      <c r="D201" t="s">
        <v>254</v>
      </c>
    </row>
    <row r="202" spans="1:5">
      <c r="A202" t="s">
        <v>677</v>
      </c>
      <c r="B202" t="s">
        <v>685</v>
      </c>
      <c r="C202" t="s">
        <v>422</v>
      </c>
      <c r="D202" t="s">
        <v>254</v>
      </c>
      <c r="E202" t="s">
        <v>627</v>
      </c>
    </row>
    <row r="203" spans="1:5">
      <c r="A203" t="s">
        <v>699</v>
      </c>
      <c r="B203" t="s">
        <v>686</v>
      </c>
      <c r="C203" t="s">
        <v>253</v>
      </c>
      <c r="D203" t="s">
        <v>254</v>
      </c>
    </row>
    <row r="204" spans="1:5">
      <c r="A204" t="s">
        <v>678</v>
      </c>
      <c r="B204" t="s">
        <v>687</v>
      </c>
      <c r="C204" t="s">
        <v>253</v>
      </c>
      <c r="D204" t="s">
        <v>254</v>
      </c>
    </row>
    <row r="205" spans="1:5">
      <c r="A205" t="s">
        <v>700</v>
      </c>
      <c r="B205" t="s">
        <v>688</v>
      </c>
      <c r="C205" t="s">
        <v>253</v>
      </c>
      <c r="D205" t="s">
        <v>254</v>
      </c>
    </row>
    <row r="206" spans="1:5">
      <c r="A206" t="s">
        <v>701</v>
      </c>
      <c r="B206" t="s">
        <v>659</v>
      </c>
      <c r="C206" t="s">
        <v>285</v>
      </c>
      <c r="D206" t="s">
        <v>263</v>
      </c>
    </row>
    <row r="207" spans="1:5">
      <c r="A207" t="s">
        <v>702</v>
      </c>
      <c r="B207" s="63" t="s">
        <v>693</v>
      </c>
      <c r="C207" t="s">
        <v>285</v>
      </c>
      <c r="D207" t="s">
        <v>263</v>
      </c>
    </row>
    <row r="208" spans="1:5">
      <c r="A208" t="s">
        <v>703</v>
      </c>
      <c r="B208" t="s">
        <v>691</v>
      </c>
      <c r="C208" t="s">
        <v>285</v>
      </c>
      <c r="D208" t="s">
        <v>263</v>
      </c>
    </row>
    <row r="209" spans="1:4">
      <c r="A209" t="s">
        <v>704</v>
      </c>
      <c r="B209" t="s">
        <v>661</v>
      </c>
      <c r="C209" t="s">
        <v>267</v>
      </c>
      <c r="D209" t="s">
        <v>263</v>
      </c>
    </row>
    <row r="210" spans="1:4">
      <c r="A210" t="s">
        <v>705</v>
      </c>
      <c r="B210" t="s">
        <v>692</v>
      </c>
      <c r="C210" t="s">
        <v>267</v>
      </c>
      <c r="D210" t="s">
        <v>263</v>
      </c>
    </row>
    <row r="211" spans="1:4">
      <c r="A211" t="s">
        <v>706</v>
      </c>
      <c r="B211" t="s">
        <v>689</v>
      </c>
      <c r="C211" t="s">
        <v>262</v>
      </c>
      <c r="D211" t="s">
        <v>263</v>
      </c>
    </row>
    <row r="212" spans="1:4">
      <c r="A212" t="s">
        <v>690</v>
      </c>
      <c r="B212" t="s">
        <v>663</v>
      </c>
      <c r="C212" t="s">
        <v>267</v>
      </c>
      <c r="D212" t="s">
        <v>263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1">
    <tabColor rgb="FF00B050"/>
  </sheetPr>
  <dimension ref="A1:XFC63"/>
  <sheetViews>
    <sheetView showGridLines="0" topLeftCell="D7" zoomScale="90" zoomScaleNormal="90" workbookViewId="0">
      <pane xSplit="2" ySplit="6" topLeftCell="F43" activePane="bottomRight" state="frozen"/>
      <selection activeCell="D7" sqref="D7"/>
      <selection pane="topRight" activeCell="F7" sqref="F7"/>
      <selection pane="bottomLeft" activeCell="D13" sqref="D13"/>
      <selection pane="bottomRight" activeCell="F43" sqref="F43"/>
    </sheetView>
  </sheetViews>
  <sheetFormatPr defaultColWidth="0" defaultRowHeight="15" zeroHeight="1"/>
  <cols>
    <col min="1" max="3" width="2.7109375" hidden="1" customWidth="1"/>
    <col min="4" max="4" width="2.7109375" customWidth="1"/>
    <col min="5" max="5" width="6.5703125" customWidth="1"/>
    <col min="6" max="6" width="46.5703125" customWidth="1"/>
    <col min="7" max="7" width="5.5703125" hidden="1" customWidth="1"/>
    <col min="8" max="8" width="14.85546875" style="144" customWidth="1"/>
    <col min="9" max="10" width="16.7109375" style="144" customWidth="1"/>
    <col min="11" max="12" width="16.7109375" customWidth="1"/>
    <col min="13" max="13" width="16.7109375" style="123" customWidth="1"/>
    <col min="14" max="14" width="19.28515625" style="67" customWidth="1"/>
    <col min="15" max="15" width="18.7109375" style="67" customWidth="1"/>
    <col min="16" max="16" width="16.7109375" style="144" customWidth="1"/>
    <col min="17" max="17" width="16.7109375" style="123" customWidth="1"/>
    <col min="18" max="19" width="16.7109375" style="144" customWidth="1"/>
    <col min="20" max="20" width="18" style="144" customWidth="1"/>
    <col min="21" max="21" width="20.140625" style="67" customWidth="1"/>
    <col min="22" max="22" width="16.7109375" style="67" customWidth="1"/>
    <col min="23" max="23" width="12.28515625" style="67" customWidth="1"/>
    <col min="24" max="24" width="16.7109375" style="144" customWidth="1"/>
    <col min="25" max="25" width="15.42578125" style="67" customWidth="1"/>
    <col min="26" max="26" width="18.42578125" style="144" customWidth="1"/>
    <col min="27" max="27" width="2.7109375" customWidth="1"/>
    <col min="28" max="16382" width="5.5703125" hidden="1"/>
    <col min="16383" max="16383" width="2.85546875" hidden="1"/>
    <col min="16384" max="16384" width="5.5703125" hidden="1"/>
  </cols>
  <sheetData>
    <row r="1" spans="5:58" hidden="1"/>
    <row r="2" spans="5:58" hidden="1">
      <c r="H2" s="144" t="s">
        <v>144</v>
      </c>
      <c r="I2" s="144" t="s">
        <v>165</v>
      </c>
      <c r="J2" s="144" t="s">
        <v>166</v>
      </c>
      <c r="K2" t="s">
        <v>167</v>
      </c>
      <c r="L2" t="s">
        <v>168</v>
      </c>
      <c r="M2" s="123" t="s">
        <v>169</v>
      </c>
      <c r="N2" s="67" t="s">
        <v>170</v>
      </c>
      <c r="O2" s="67" t="s">
        <v>171</v>
      </c>
      <c r="P2" s="144" t="s">
        <v>172</v>
      </c>
      <c r="Q2" s="123" t="s">
        <v>173</v>
      </c>
      <c r="R2" s="144" t="s">
        <v>174</v>
      </c>
      <c r="S2" s="144" t="s">
        <v>175</v>
      </c>
      <c r="T2" s="144" t="s">
        <v>176</v>
      </c>
      <c r="U2" s="67" t="s">
        <v>177</v>
      </c>
      <c r="V2" s="67" t="s">
        <v>178</v>
      </c>
      <c r="W2" s="67" t="s">
        <v>179</v>
      </c>
      <c r="X2" s="144" t="s">
        <v>180</v>
      </c>
      <c r="Y2" s="67" t="s">
        <v>181</v>
      </c>
      <c r="Z2" s="144" t="s">
        <v>182</v>
      </c>
    </row>
    <row r="3" spans="5:58" hidden="1"/>
    <row r="4" spans="5:58" hidden="1"/>
    <row r="5" spans="5:58" hidden="1"/>
    <row r="6" spans="5:58" hidden="1"/>
    <row r="7" spans="5:58" ht="15" customHeight="1"/>
    <row r="8" spans="5:58" ht="11.25" customHeight="1"/>
    <row r="9" spans="5:58" ht="18.75" customHeight="1">
      <c r="E9" s="532" t="s">
        <v>133</v>
      </c>
      <c r="F9" s="515" t="s">
        <v>0</v>
      </c>
      <c r="G9" s="516"/>
      <c r="H9" s="503" t="s">
        <v>2</v>
      </c>
      <c r="I9" s="503" t="s">
        <v>3</v>
      </c>
      <c r="J9" s="503" t="s">
        <v>4</v>
      </c>
      <c r="K9" s="521" t="s">
        <v>5</v>
      </c>
      <c r="L9" s="521" t="s">
        <v>6</v>
      </c>
      <c r="M9" s="525" t="s">
        <v>7</v>
      </c>
      <c r="N9" s="522" t="s">
        <v>8</v>
      </c>
      <c r="O9" s="523"/>
      <c r="P9" s="523"/>
      <c r="Q9" s="524"/>
      <c r="R9" s="503" t="s">
        <v>9</v>
      </c>
      <c r="S9" s="504" t="s">
        <v>505</v>
      </c>
      <c r="T9" s="527" t="s">
        <v>134</v>
      </c>
      <c r="U9" s="526" t="s">
        <v>11</v>
      </c>
      <c r="V9" s="521" t="s">
        <v>12</v>
      </c>
      <c r="W9" s="521"/>
      <c r="X9" s="521" t="s">
        <v>13</v>
      </c>
      <c r="Y9" s="521"/>
      <c r="Z9" s="503" t="s">
        <v>14</v>
      </c>
    </row>
    <row r="10" spans="5:58" ht="28.5" customHeight="1">
      <c r="E10" s="533"/>
      <c r="F10" s="517"/>
      <c r="G10" s="518"/>
      <c r="H10" s="503"/>
      <c r="I10" s="503"/>
      <c r="J10" s="503"/>
      <c r="K10" s="521"/>
      <c r="L10" s="521"/>
      <c r="M10" s="525"/>
      <c r="N10" s="522" t="s">
        <v>15</v>
      </c>
      <c r="O10" s="523"/>
      <c r="P10" s="524"/>
      <c r="Q10" s="525" t="s">
        <v>16</v>
      </c>
      <c r="R10" s="503"/>
      <c r="S10" s="505"/>
      <c r="T10" s="503"/>
      <c r="U10" s="526"/>
      <c r="V10" s="521"/>
      <c r="W10" s="521"/>
      <c r="X10" s="521"/>
      <c r="Y10" s="521"/>
      <c r="Z10" s="503"/>
    </row>
    <row r="11" spans="5:58" ht="113.25" customHeight="1">
      <c r="E11" s="534"/>
      <c r="F11" s="519"/>
      <c r="G11" s="520"/>
      <c r="H11" s="503"/>
      <c r="I11" s="503"/>
      <c r="J11" s="503"/>
      <c r="K11" s="521"/>
      <c r="L11" s="521"/>
      <c r="M11" s="525"/>
      <c r="N11" s="140" t="s">
        <v>17</v>
      </c>
      <c r="O11" s="140" t="s">
        <v>18</v>
      </c>
      <c r="P11" s="145" t="s">
        <v>19</v>
      </c>
      <c r="Q11" s="525"/>
      <c r="R11" s="503"/>
      <c r="S11" s="506"/>
      <c r="T11" s="503"/>
      <c r="U11" s="526"/>
      <c r="V11" s="140" t="s">
        <v>20</v>
      </c>
      <c r="W11" s="68" t="s">
        <v>21</v>
      </c>
      <c r="X11" s="145" t="s">
        <v>20</v>
      </c>
      <c r="Y11" s="68" t="s">
        <v>21</v>
      </c>
      <c r="Z11" s="503"/>
    </row>
    <row r="12" spans="5:58" ht="18.75" customHeight="1">
      <c r="E12" s="120" t="s">
        <v>22</v>
      </c>
      <c r="F12" s="531" t="s">
        <v>23</v>
      </c>
      <c r="G12" s="531"/>
      <c r="H12" s="531"/>
      <c r="I12" s="531"/>
      <c r="J12" s="531"/>
      <c r="K12" s="531"/>
      <c r="L12" s="531"/>
      <c r="M12" s="531"/>
      <c r="N12" s="531"/>
      <c r="O12" s="531"/>
      <c r="P12" s="531"/>
      <c r="Q12" s="531"/>
      <c r="R12" s="531"/>
      <c r="S12" s="531"/>
      <c r="T12" s="531"/>
      <c r="U12" s="531"/>
      <c r="V12" s="531"/>
      <c r="W12" s="531"/>
      <c r="X12" s="531"/>
      <c r="Y12" s="531"/>
      <c r="Z12" s="364"/>
    </row>
    <row r="13" spans="5:58" ht="20.100000000000001" customHeight="1">
      <c r="E13" s="121" t="s">
        <v>24</v>
      </c>
      <c r="F13" s="242" t="s">
        <v>25</v>
      </c>
      <c r="G13" s="122"/>
      <c r="H13" s="146"/>
      <c r="I13" s="146"/>
      <c r="J13" s="146"/>
      <c r="K13" s="122"/>
      <c r="L13" s="122"/>
      <c r="M13" s="124"/>
      <c r="N13" s="141"/>
      <c r="O13" s="141"/>
      <c r="P13" s="146"/>
      <c r="Q13" s="124"/>
      <c r="R13" s="146"/>
      <c r="S13" s="146"/>
      <c r="T13" s="146"/>
      <c r="U13" s="122"/>
      <c r="V13" s="141"/>
      <c r="W13" s="122"/>
      <c r="X13" s="146"/>
      <c r="Y13" s="122"/>
      <c r="Z13" s="365"/>
    </row>
    <row r="14" spans="5:58" ht="20.100000000000001" customHeight="1">
      <c r="E14" s="109" t="s">
        <v>26</v>
      </c>
      <c r="F14" s="243" t="s">
        <v>27</v>
      </c>
      <c r="G14" s="240"/>
      <c r="H14" s="191">
        <v>6</v>
      </c>
      <c r="I14" s="354">
        <v>156990</v>
      </c>
      <c r="J14" s="354" t="str">
        <f>+IF(COUNT(IndHUF!I22),IndHUF!I22,"")</f>
        <v/>
      </c>
      <c r="K14" s="133" t="str">
        <f>+IF(COUNT(IndHUF!J22),IndHUF!J22,"")</f>
        <v/>
      </c>
      <c r="L14" s="133">
        <f>+IF(COUNT(IndHUF!K22),IndHUF!K22,"")</f>
        <v>156990</v>
      </c>
      <c r="M14" s="173">
        <f>+IFERROR(IF(COUNT(L14),ROUND(L14/'Shareholding Pattern'!$L$57*100,2),""),0)</f>
        <v>65.41</v>
      </c>
      <c r="N14" s="190">
        <f>+IF(COUNT(+IndHUF!M22),SUM(+IndHUF!M22),"")</f>
        <v>156990</v>
      </c>
      <c r="O14" s="190" t="str">
        <f>+IF(COUNT(+IndHUF!N22),SUM(+IndHUF!N22),"")</f>
        <v/>
      </c>
      <c r="P14" s="354">
        <f>+IF(COUNT(IndHUF!O22),IndHUF!O22,"")</f>
        <v>156990</v>
      </c>
      <c r="Q14" s="173">
        <f>+IF(COUNT(IndHUF!P22),IndHUF!P22,"")</f>
        <v>65.41</v>
      </c>
      <c r="R14" s="354" t="str">
        <f>+IF(COUNT(IndHUF!Q22),IndHUF!Q22,"")</f>
        <v/>
      </c>
      <c r="S14" s="354" t="str">
        <f>+IF(COUNT(IndHUF!R22),IndHUF!R22,"")</f>
        <v/>
      </c>
      <c r="T14" s="354" t="str">
        <f>+IF(COUNT(IndHUF!S22),IndHUF!S22,"")</f>
        <v/>
      </c>
      <c r="U14" s="134">
        <f>+IFERROR(IF(COUNT(L14,T14),ROUND(SUM(L14,T14)/SUM('Shareholding Pattern'!$L$57,'Shareholding Pattern'!$T$57)*100,2),""),0)</f>
        <v>65.41</v>
      </c>
      <c r="V14" s="211"/>
      <c r="W14" s="186"/>
      <c r="X14" s="211"/>
      <c r="Y14" s="134"/>
      <c r="Z14" s="354">
        <v>156990</v>
      </c>
      <c r="AA14" s="101"/>
      <c r="AR14" t="s">
        <v>184</v>
      </c>
      <c r="AX14" t="s">
        <v>218</v>
      </c>
      <c r="AZ14" t="s">
        <v>387</v>
      </c>
      <c r="BF14" t="s">
        <v>328</v>
      </c>
    </row>
    <row r="15" spans="5:58" ht="20.100000000000001" customHeight="1">
      <c r="E15" s="110" t="s">
        <v>28</v>
      </c>
      <c r="F15" s="244" t="s">
        <v>29</v>
      </c>
      <c r="G15" s="240"/>
      <c r="H15" s="191" t="str">
        <f>IFERROR(IF(COUNT(CGAndSG!$AD$13),IF(CGAndSG!$AD$13=0,"0",CGAndSG!$AD$13),""),"")</f>
        <v/>
      </c>
      <c r="I15" s="354" t="str">
        <f>IFERROR(IF(COUNT(CGAndSG!H16),(CGAndSG!H16),""),"")</f>
        <v/>
      </c>
      <c r="J15" s="354" t="str">
        <f>IFERROR(IF(COUNT(CGAndSG!I16),(CGAndSG!I16),""),"")</f>
        <v/>
      </c>
      <c r="K15" s="133" t="str">
        <f>IFERROR(IF(COUNT(CGAndSG!J16),(CGAndSG!J16),""),"")</f>
        <v/>
      </c>
      <c r="L15" s="133" t="str">
        <f>IFERROR(IF(COUNT(CGAndSG!K16),(CGAndSG!K16),""),"")</f>
        <v/>
      </c>
      <c r="M15" s="173" t="str">
        <f>+IFERROR(IF(COUNT(L15),ROUND(L15/'Shareholding Pattern'!$L$57*100,2),""),0)</f>
        <v/>
      </c>
      <c r="N15" s="288" t="str">
        <f>IFERROR(IF(COUNT(CGAndSG!M16),(CGAndSG!M16),""),"")</f>
        <v/>
      </c>
      <c r="O15" s="190" t="str">
        <f>IFERROR(IF(COUNT(CGAndSG!N16),(CGAndSG!N16),""),"")</f>
        <v/>
      </c>
      <c r="P15" s="354" t="str">
        <f>IFERROR(IF(COUNT(CGAndSG!O16),(CGAndSG!O16),""),"")</f>
        <v/>
      </c>
      <c r="Q15" s="173" t="str">
        <f>IFERROR(IF(COUNT(CGAndSG!P16),(CGAndSG!P16),""),0)</f>
        <v/>
      </c>
      <c r="R15" s="354" t="str">
        <f>IFERROR(IF(COUNT(CGAndSG!Q16),(CGAndSG!Q16),""),"")</f>
        <v/>
      </c>
      <c r="S15" s="354" t="str">
        <f>IFERROR(IF(COUNT(CGAndSG!R16),(CGAndSG!R16),""),"")</f>
        <v/>
      </c>
      <c r="T15" s="354" t="str">
        <f>IFERROR(IF(COUNT(CGAndSG!S16),(CGAndSG!S16),""),"")</f>
        <v/>
      </c>
      <c r="U15" s="134" t="str">
        <f>+IFERROR(IF(COUNT(L15,T15),ROUND(SUM(L15,T15)/SUM('Shareholding Pattern'!$L$57,'Shareholding Pattern'!$T$57)*100,2),""),0)</f>
        <v/>
      </c>
      <c r="V15" s="211" t="str">
        <f>IFERROR(IF(COUNT(CGAndSG!U16),(CGAndSG!U16),""),"")</f>
        <v/>
      </c>
      <c r="W15" s="186" t="str">
        <f t="shared" ref="W15:W16" si="0">+IFERROR(IF(COUNT(V15),ROUND(SUM(V15)/SUM(L15)*100,2),""),0)</f>
        <v/>
      </c>
      <c r="X15" s="211" t="str">
        <f>IFERROR(IF(COUNT(CGAndSG!W16),(CGAndSG!W16),""),"")</f>
        <v/>
      </c>
      <c r="Y15" s="134" t="str">
        <f t="shared" ref="Y15:Y16" si="1">+IFERROR(IF(COUNT(X15),ROUND(SUM(X15)/SUM(L15)*100,2),""),0)</f>
        <v/>
      </c>
      <c r="Z15" s="354" t="str">
        <f>IFERROR(IF(COUNT(CGAndSG!Y16),(CGAndSG!Y16),""),"")</f>
        <v/>
      </c>
      <c r="AA15" s="101"/>
      <c r="AR15" t="s">
        <v>185</v>
      </c>
      <c r="AX15" t="s">
        <v>219</v>
      </c>
      <c r="AZ15" t="s">
        <v>388</v>
      </c>
      <c r="BF15" t="s">
        <v>330</v>
      </c>
    </row>
    <row r="16" spans="5:58" ht="20.100000000000001" customHeight="1">
      <c r="E16" s="109" t="s">
        <v>30</v>
      </c>
      <c r="F16" s="244" t="s">
        <v>31</v>
      </c>
      <c r="H16" s="192" t="str">
        <f>IFERROR(IF(COUNT(Banks!$AD$13),IF(Banks!$AD$13=0,"0",Banks!$AD$13),""),"")</f>
        <v/>
      </c>
      <c r="I16" s="354" t="str">
        <f>IFERROR(IF(COUNT(Banks!H16),(Banks!H16),""),"")</f>
        <v/>
      </c>
      <c r="J16" s="354" t="str">
        <f>IFERROR(IF(COUNT(Banks!I16),(Banks!I16),""),"")</f>
        <v/>
      </c>
      <c r="K16" s="112" t="str">
        <f>IFERROR(IF(COUNT(Banks!J16),(Banks!J16),""),"")</f>
        <v/>
      </c>
      <c r="L16" s="133" t="str">
        <f>IFERROR(IF(COUNT(Banks!K16),(Banks!K16),""),"")</f>
        <v/>
      </c>
      <c r="M16" s="173" t="str">
        <f>+IFERROR(IF(COUNT(L16),ROUND(L16/'Shareholding Pattern'!$L$57*100,2),""),0)</f>
        <v/>
      </c>
      <c r="N16" s="288" t="str">
        <f>IFERROR(IF(COUNT(Banks!M16),(Banks!M16),""),"")</f>
        <v/>
      </c>
      <c r="O16" s="190" t="str">
        <f>IFERROR(IF(COUNT(Banks!N16),(Banks!N16),""),"")</f>
        <v/>
      </c>
      <c r="P16" s="354" t="str">
        <f>IFERROR(IF(COUNT(Banks!O16),(Banks!O16),""),"")</f>
        <v/>
      </c>
      <c r="Q16" s="173" t="str">
        <f>IFERROR(IF(COUNT(Banks!P16),(Banks!P16),""),0)</f>
        <v/>
      </c>
      <c r="R16" s="354" t="str">
        <f>IFERROR(IF(COUNT(Banks!Q16),(Banks!Q16),""),"")</f>
        <v/>
      </c>
      <c r="S16" s="354" t="str">
        <f>IFERROR(IF(COUNT(Banks!R16),(Banks!R16),""),"")</f>
        <v/>
      </c>
      <c r="T16" s="354" t="str">
        <f>IFERROR(IF(COUNT(Banks!S16),(Banks!S16),""),"")</f>
        <v/>
      </c>
      <c r="U16" s="134" t="str">
        <f>+IFERROR(IF(COUNT(L16,T16),ROUND(SUM(L16,T16)/SUM('Shareholding Pattern'!$L$57,'Shareholding Pattern'!$T$57)*100,2),""),0)</f>
        <v/>
      </c>
      <c r="V16" s="211" t="str">
        <f>IFERROR(IF(COUNT(Banks!U16),(Banks!U16),""),"")</f>
        <v/>
      </c>
      <c r="W16" s="186" t="str">
        <f t="shared" si="0"/>
        <v/>
      </c>
      <c r="X16" s="211" t="str">
        <f>IFERROR(IF(COUNT(Banks!W16),(Banks!W16),""),"")</f>
        <v/>
      </c>
      <c r="Y16" s="134" t="str">
        <f t="shared" si="1"/>
        <v/>
      </c>
      <c r="Z16" s="354" t="str">
        <f>IFERROR(IF(COUNT(Banks!Y16),(Banks!Y16),""),"")</f>
        <v/>
      </c>
      <c r="AA16" s="101"/>
      <c r="AR16" t="s">
        <v>186</v>
      </c>
      <c r="AX16" t="s">
        <v>331</v>
      </c>
      <c r="AZ16" t="s">
        <v>227</v>
      </c>
      <c r="BF16" t="s">
        <v>353</v>
      </c>
    </row>
    <row r="17" spans="5:58" ht="20.100000000000001" customHeight="1">
      <c r="E17" s="113" t="s">
        <v>32</v>
      </c>
      <c r="F17" s="245" t="s">
        <v>33</v>
      </c>
      <c r="H17" s="192">
        <v>2</v>
      </c>
      <c r="I17" s="355">
        <v>23000</v>
      </c>
      <c r="J17" s="355" t="str">
        <f>IFERROR(IF(COUNT(OtherIND!K18),(OtherIND!K18),""),"")</f>
        <v/>
      </c>
      <c r="K17" s="135" t="str">
        <f>IFERROR(IF(COUNT(OtherIND!L18),(OtherIND!L18),""),"")</f>
        <v/>
      </c>
      <c r="L17" s="135">
        <f>IFERROR(IF(COUNT(OtherIND!M18),(OtherIND!M18),""),"")</f>
        <v>23000</v>
      </c>
      <c r="M17" s="215">
        <f>+IFERROR(IF(COUNT(L17),ROUND(L17/'Shareholding Pattern'!$L$57*100,2),""),0)</f>
        <v>9.58</v>
      </c>
      <c r="N17" s="288">
        <f>IFERROR(IF(COUNT(OtherIND!O18),(OtherIND!O18),""),"")</f>
        <v>23000</v>
      </c>
      <c r="O17" s="190" t="str">
        <f>IFERROR(IF(COUNT(OtherIND!P18),(OtherIND!P18),""),"")</f>
        <v/>
      </c>
      <c r="P17" s="355">
        <f>IFERROR(IF(COUNT(OtherIND!Q18),(OtherIND!Q18),""),"")</f>
        <v>23000</v>
      </c>
      <c r="Q17" s="215">
        <f>IFERROR(IF(COUNT(OtherIND!R18),(OtherIND!R18),""),0)</f>
        <v>9.58</v>
      </c>
      <c r="R17" s="355" t="str">
        <f>IFERROR(IF(COUNT(OtherIND!S18),(OtherIND!S18),""),"")</f>
        <v/>
      </c>
      <c r="S17" s="355" t="str">
        <f>IFERROR(IF(COUNT(OtherIND!T18),(OtherIND!T18),""),"")</f>
        <v/>
      </c>
      <c r="T17" s="355" t="str">
        <f>IFERROR(IF(COUNT(OtherIND!U18),(OtherIND!U18),""),"")</f>
        <v/>
      </c>
      <c r="U17" s="136">
        <f>+IFERROR(IF(COUNT(L17,T17),ROUND(SUM(L17,T17)/SUM('Shareholding Pattern'!$L$57,'Shareholding Pattern'!$T$57)*100,2),""),0)</f>
        <v>9.58</v>
      </c>
      <c r="V17" s="211"/>
      <c r="W17" s="234"/>
      <c r="X17" s="211"/>
      <c r="Y17" s="136"/>
      <c r="Z17" s="355">
        <v>23000</v>
      </c>
      <c r="AA17" s="101"/>
      <c r="AR17" t="s">
        <v>187</v>
      </c>
      <c r="AX17" t="s">
        <v>332</v>
      </c>
      <c r="AZ17" t="s">
        <v>390</v>
      </c>
      <c r="BF17" t="s">
        <v>369</v>
      </c>
    </row>
    <row r="18" spans="5:58" ht="20.100000000000001" customHeight="1">
      <c r="E18" s="489" t="s">
        <v>35</v>
      </c>
      <c r="F18" s="489"/>
      <c r="G18" s="489"/>
      <c r="H18" s="64">
        <f>+IFERROR(IF(COUNT(H14:H17),ROUND(SUM(H14:H17),0),""),"")</f>
        <v>8</v>
      </c>
      <c r="I18" s="64">
        <f t="shared" ref="I18:Z18" si="2">+IFERROR(IF(COUNT(I14:I17),ROUND(SUM(I14:I17),0),""),"")</f>
        <v>179990</v>
      </c>
      <c r="J18" s="64" t="str">
        <f t="shared" si="2"/>
        <v/>
      </c>
      <c r="K18" s="4" t="str">
        <f t="shared" si="2"/>
        <v/>
      </c>
      <c r="L18" s="64">
        <f t="shared" si="2"/>
        <v>179990</v>
      </c>
      <c r="M18" s="175">
        <f>+IFERROR(IF(COUNT(L18),ROUND(L18/'Shareholding Pattern'!$L$57*100,2),""),0)</f>
        <v>75</v>
      </c>
      <c r="N18" s="142">
        <f t="shared" si="2"/>
        <v>179990</v>
      </c>
      <c r="O18" s="142" t="str">
        <f t="shared" si="2"/>
        <v/>
      </c>
      <c r="P18" s="64">
        <f t="shared" si="2"/>
        <v>179990</v>
      </c>
      <c r="Q18" s="183">
        <f>IFERROR(IF(COUNT(P18),ROUND(P18/$P$58*100,2),""),0)</f>
        <v>75</v>
      </c>
      <c r="R18" s="64" t="str">
        <f t="shared" si="2"/>
        <v/>
      </c>
      <c r="S18" s="64" t="str">
        <f t="shared" si="2"/>
        <v/>
      </c>
      <c r="T18" s="64" t="str">
        <f t="shared" si="2"/>
        <v/>
      </c>
      <c r="U18" s="137">
        <f>+IFERROR(IF(COUNT(L18,T18),ROUND(SUM(L18,T18)/SUM('Shareholding Pattern'!$L$57,'Shareholding Pattern'!$T$57)*100,2),""),0)</f>
        <v>75</v>
      </c>
      <c r="V18" s="64" t="str">
        <f t="shared" si="2"/>
        <v/>
      </c>
      <c r="W18" s="187" t="str">
        <f>+IFERROR(IF(COUNT(V18),ROUND(SUM(V18)/SUM(L18)*100,2),""),0)</f>
        <v/>
      </c>
      <c r="X18" s="64" t="str">
        <f t="shared" si="2"/>
        <v/>
      </c>
      <c r="Y18" s="138" t="str">
        <f>+IFERROR(IF(COUNT(X18),ROUND(SUM(X18)/SUM(L18)*100,2),""),0)</f>
        <v/>
      </c>
      <c r="Z18" s="64">
        <f t="shared" si="2"/>
        <v>179990</v>
      </c>
      <c r="AA18" s="101"/>
      <c r="AR18" t="s">
        <v>188</v>
      </c>
      <c r="AX18" t="s">
        <v>333</v>
      </c>
      <c r="AZ18" t="s">
        <v>228</v>
      </c>
      <c r="BF18" t="s">
        <v>354</v>
      </c>
    </row>
    <row r="19" spans="5:58" ht="20.100000000000001" customHeight="1">
      <c r="E19" s="114" t="s">
        <v>36</v>
      </c>
      <c r="F19" s="38" t="s">
        <v>37</v>
      </c>
      <c r="G19" s="39"/>
      <c r="H19" s="147"/>
      <c r="I19" s="147"/>
      <c r="J19" s="147"/>
      <c r="K19" s="39"/>
      <c r="L19" s="39"/>
      <c r="M19" s="125"/>
      <c r="N19" s="143"/>
      <c r="O19" s="143"/>
      <c r="P19" s="147"/>
      <c r="Q19" s="125"/>
      <c r="R19" s="147"/>
      <c r="S19" s="147"/>
      <c r="T19" s="147"/>
      <c r="U19" s="39"/>
      <c r="V19" s="143"/>
      <c r="W19" s="39"/>
      <c r="X19" s="147"/>
      <c r="Y19" s="39"/>
      <c r="Z19" s="366"/>
      <c r="AA19" s="101"/>
      <c r="AX19" t="s">
        <v>39</v>
      </c>
      <c r="AZ19" t="s">
        <v>229</v>
      </c>
      <c r="BF19" t="s">
        <v>355</v>
      </c>
    </row>
    <row r="20" spans="5:58" ht="34.5" customHeight="1">
      <c r="E20" s="110" t="s">
        <v>26</v>
      </c>
      <c r="F20" s="249" t="s">
        <v>38</v>
      </c>
      <c r="H20" s="191" t="str">
        <f>IFERROR(IF(COUNT(Individuals!$AD$13),IF(Individuals!$AD$13=0,"0",Individuals!$AD$13),""),"")</f>
        <v/>
      </c>
      <c r="I20" s="191" t="str">
        <f>IFERROR(IF(COUNT(Individuals!H16),(Individuals!H16),""),"")</f>
        <v/>
      </c>
      <c r="J20" s="191" t="str">
        <f>IFERROR(IF(COUNT(Individuals!I16),(Individuals!I16),""),"")</f>
        <v/>
      </c>
      <c r="K20" s="115" t="str">
        <f>IFERROR(IF(COUNT(Individuals!J16),(Individuals!J16),""),"")</f>
        <v/>
      </c>
      <c r="L20" s="191" t="str">
        <f>IFERROR(IF(COUNT(Individuals!K16),(Individuals!K16),""),"")</f>
        <v/>
      </c>
      <c r="M20" s="174" t="str">
        <f>+IFERROR(IF(COUNT(L20),ROUND(L20/'Shareholding Pattern'!$L$57*100,2),""),0)</f>
        <v/>
      </c>
      <c r="N20" s="288" t="str">
        <f>IFERROR(IF(COUNT(Individuals!M16),(Individuals!M16),""),"")</f>
        <v/>
      </c>
      <c r="O20" s="190" t="str">
        <f>IFERROR(IF(COUNT(Individuals!N16),(Individuals!N16),""),"")</f>
        <v/>
      </c>
      <c r="P20" s="191" t="str">
        <f>IFERROR(IF(COUNT(Individuals!O16),(Individuals!O16),""),"")</f>
        <v/>
      </c>
      <c r="Q20" s="185" t="str">
        <f>IFERROR(IF(COUNT(Individuals!P16),(Individuals!P16),""),0)</f>
        <v/>
      </c>
      <c r="R20" s="191" t="str">
        <f>IFERROR(IF(COUNT(Individuals!Q16),(Individuals!Q16),""),"")</f>
        <v/>
      </c>
      <c r="S20" s="191" t="str">
        <f>IFERROR(IF(COUNT(Individuals!R16),(Individuals!R16),""),"")</f>
        <v/>
      </c>
      <c r="T20" s="191" t="str">
        <f>IFERROR(IF(COUNT(Individuals!S16),(Individuals!S16),""),"")</f>
        <v/>
      </c>
      <c r="U20" s="139" t="str">
        <f>+IFERROR(IF(COUNT(L20,T20),ROUND(SUM(L20,T20)/SUM('Shareholding Pattern'!$L$57,'Shareholding Pattern'!$T$57)*100,2),""),0)</f>
        <v/>
      </c>
      <c r="V20" s="211" t="str">
        <f>IFERROR(IF(COUNT(Individuals!U16),(Individuals!U16),""),"")</f>
        <v/>
      </c>
      <c r="W20" s="263" t="str">
        <f t="shared" ref="W20:W25" si="3">+IFERROR(IF(COUNT(V20),ROUND(SUM(V20)/SUM(L20)*100,2),""),0)</f>
        <v/>
      </c>
      <c r="X20" s="211" t="str">
        <f>IFERROR(IF(COUNT(Individuals!W16),(Individuals!W16),""),"")</f>
        <v/>
      </c>
      <c r="Y20" s="139" t="str">
        <f t="shared" ref="Y20:Y26" si="4">+IFERROR(IF(COUNT(X20),ROUND(SUM(X20)/SUM(L20)*100,2),""),0)</f>
        <v/>
      </c>
      <c r="Z20" s="191" t="str">
        <f>IFERROR(IF(COUNT(Individuals!Y16),(Individuals!Y16),""),"")</f>
        <v/>
      </c>
      <c r="AA20" s="101"/>
      <c r="AR20" t="s">
        <v>189</v>
      </c>
      <c r="AX20" t="s">
        <v>40</v>
      </c>
      <c r="AZ20" t="s">
        <v>231</v>
      </c>
      <c r="BF20" t="s">
        <v>371</v>
      </c>
    </row>
    <row r="21" spans="5:58" ht="20.100000000000001" customHeight="1">
      <c r="E21" s="110" t="s">
        <v>28</v>
      </c>
      <c r="F21" s="251" t="s">
        <v>39</v>
      </c>
      <c r="H21" s="192" t="str">
        <f>IFERROR(IF(COUNT(Government!$AD$13),IF(Government!$AD$13=0,"0",Government!$AD$13),""),"")</f>
        <v/>
      </c>
      <c r="I21" s="192" t="str">
        <f>IFERROR(IF(COUNT(Government!H16),(Government!H16),""),"")</f>
        <v/>
      </c>
      <c r="J21" s="192" t="str">
        <f>IFERROR(IF(COUNT(Government!I16),(Government!I16),""),"")</f>
        <v/>
      </c>
      <c r="K21" s="111" t="str">
        <f>IFERROR(IF(COUNT(Government!J16),(Government!J16),""),"")</f>
        <v/>
      </c>
      <c r="L21" s="192" t="str">
        <f>IFERROR(IF(COUNT(Government!K16),(Government!K16),""),"")</f>
        <v/>
      </c>
      <c r="M21" s="173" t="str">
        <f>+IFERROR(IF(COUNT(L21),ROUND(L21/'Shareholding Pattern'!$L$57*100,2),""),0)</f>
        <v/>
      </c>
      <c r="N21" s="288" t="str">
        <f>IFERROR(IF(COUNT(Government!M16),(Government!M16),""),"")</f>
        <v/>
      </c>
      <c r="O21" s="190" t="str">
        <f>IFERROR(IF(COUNT(Government!N16),(Government!N16),""),"")</f>
        <v/>
      </c>
      <c r="P21" s="192" t="str">
        <f>IFERROR(IF(COUNT(Government!O16),(Government!O16),""),"")</f>
        <v/>
      </c>
      <c r="Q21" s="182" t="str">
        <f>IFERROR(IF(COUNT(Government!P16),(Government!P16),""),0)</f>
        <v/>
      </c>
      <c r="R21" s="192" t="str">
        <f>IFERROR(IF(COUNT(Government!Q16),(Government!Q16),""),"")</f>
        <v/>
      </c>
      <c r="S21" s="192" t="str">
        <f>IFERROR(IF(COUNT(Government!R16),(Government!R16),""),"")</f>
        <v/>
      </c>
      <c r="T21" s="192" t="str">
        <f>IFERROR(IF(COUNT(Government!S16),(Government!S16),""),"")</f>
        <v/>
      </c>
      <c r="U21" s="134" t="str">
        <f>+IFERROR(IF(COUNT(L21,T21),ROUND(SUM(L21,T21)/SUM('Shareholding Pattern'!$L$57,'Shareholding Pattern'!$T$57)*100,2),""),0)</f>
        <v/>
      </c>
      <c r="V21" s="211" t="str">
        <f>IFERROR(IF(COUNT(Government!U16),(Government!U16),""),"")</f>
        <v/>
      </c>
      <c r="W21" s="186" t="str">
        <f t="shared" si="3"/>
        <v/>
      </c>
      <c r="X21" s="211" t="str">
        <f>IFERROR(IF(COUNT(Government!W16),(Government!W16),""),"")</f>
        <v/>
      </c>
      <c r="Y21" s="134" t="str">
        <f t="shared" si="4"/>
        <v/>
      </c>
      <c r="Z21" s="192" t="str">
        <f>IFERROR(IF(COUNT(Government!Y16),(Government!Y16),""),"")</f>
        <v/>
      </c>
      <c r="AA21" s="101"/>
      <c r="AR21" t="s">
        <v>190</v>
      </c>
      <c r="AX21" t="s">
        <v>334</v>
      </c>
      <c r="AZ21" t="s">
        <v>230</v>
      </c>
      <c r="BF21" t="s">
        <v>356</v>
      </c>
    </row>
    <row r="22" spans="5:58" ht="20.100000000000001" customHeight="1">
      <c r="E22" s="110" t="s">
        <v>30</v>
      </c>
      <c r="F22" s="251" t="s">
        <v>40</v>
      </c>
      <c r="H22" s="192" t="str">
        <f>IFERROR(IF(COUNT(Institutions!$AD$13),IF(Institutions!$AD$13=0,"0",Institutions!$AD$13),""),"")</f>
        <v/>
      </c>
      <c r="I22" s="192" t="str">
        <f>IFERROR(IF(COUNT(Institutions!H16),(Institutions!H16),""),"")</f>
        <v/>
      </c>
      <c r="J22" s="192" t="str">
        <f>IFERROR(IF(COUNT(Institutions!I16),(Institutions!I16),""),"")</f>
        <v/>
      </c>
      <c r="K22" s="111" t="str">
        <f>IFERROR(IF(COUNT(Institutions!J16),(Institutions!J16),""),"")</f>
        <v/>
      </c>
      <c r="L22" s="192" t="str">
        <f>IFERROR(IF(COUNT(Institutions!K16),(Institutions!K16),""),"")</f>
        <v/>
      </c>
      <c r="M22" s="173" t="str">
        <f>+IFERROR(IF(COUNT(L22),ROUND(L22/'Shareholding Pattern'!$L$57*100,2),""),0)</f>
        <v/>
      </c>
      <c r="N22" s="288" t="str">
        <f>IFERROR(IF(COUNT(Institutions!M16),(Institutions!M16),""),"")</f>
        <v/>
      </c>
      <c r="O22" s="190" t="str">
        <f>IFERROR(IF(COUNT(Institutions!N16),(Institutions!N16),""),"")</f>
        <v/>
      </c>
      <c r="P22" s="192" t="str">
        <f>IFERROR(IF(COUNT(Institutions!O16),(Institutions!O16),""),"")</f>
        <v/>
      </c>
      <c r="Q22" s="182" t="str">
        <f>IFERROR(IF(COUNT(Institutions!P16),(Institutions!P16),""),0)</f>
        <v/>
      </c>
      <c r="R22" s="192" t="str">
        <f>IFERROR(IF(COUNT(Institutions!Q16),(Institutions!Q16),""),"")</f>
        <v/>
      </c>
      <c r="S22" s="192" t="str">
        <f>IFERROR(IF(COUNT(Institutions!R16),(Institutions!R16),""),"")</f>
        <v/>
      </c>
      <c r="T22" s="192" t="str">
        <f>IFERROR(IF(COUNT(Institutions!S16),(Institutions!S16),""),"")</f>
        <v/>
      </c>
      <c r="U22" s="134" t="str">
        <f>+IFERROR(IF(COUNT(L22,T22),ROUND(SUM(L22,T22)/SUM('Shareholding Pattern'!$L$57,'Shareholding Pattern'!$T$57)*100,2),""),0)</f>
        <v/>
      </c>
      <c r="V22" s="211" t="str">
        <f>IFERROR(IF(COUNT(Institutions!U16),(Institutions!U16),""),"")</f>
        <v/>
      </c>
      <c r="W22" s="186" t="str">
        <f t="shared" si="3"/>
        <v/>
      </c>
      <c r="X22" s="211" t="str">
        <f>IFERROR(IF(COUNT(Institutions!W16),(Institutions!W16),""),"")</f>
        <v/>
      </c>
      <c r="Y22" s="134" t="str">
        <f t="shared" si="4"/>
        <v/>
      </c>
      <c r="Z22" s="192" t="str">
        <f>IFERROR(IF(COUNT(Institutions!Y16),(Institutions!Y16),""),"")</f>
        <v/>
      </c>
      <c r="AA22" s="101"/>
      <c r="AR22" t="s">
        <v>192</v>
      </c>
      <c r="AX22" t="s">
        <v>335</v>
      </c>
      <c r="AZ22" t="s">
        <v>232</v>
      </c>
      <c r="BF22" t="s">
        <v>372</v>
      </c>
    </row>
    <row r="23" spans="5:58" ht="20.100000000000001" customHeight="1">
      <c r="E23" s="110" t="s">
        <v>32</v>
      </c>
      <c r="F23" s="251" t="s">
        <v>41</v>
      </c>
      <c r="H23" s="192" t="str">
        <f>IFERROR(IF(COUNT(FPIPromoter!$AD$13),IF(FPIPromoter!$AD$13=0,"0",FPIPromoter!$AD$13),""),"")</f>
        <v/>
      </c>
      <c r="I23" s="192" t="str">
        <f>IFERROR(IF(COUNT(FPIPromoter!H16),(FPIPromoter!H16),""),"")</f>
        <v/>
      </c>
      <c r="J23" s="192" t="str">
        <f>IFERROR(IF(COUNT(FPIPromoter!I16),(FPIPromoter!I16),""),"")</f>
        <v/>
      </c>
      <c r="K23" s="111" t="str">
        <f>IFERROR(IF(COUNT(FPIPromoter!J16),(FPIPromoter!J16),""),"")</f>
        <v/>
      </c>
      <c r="L23" s="192" t="str">
        <f>IFERROR(IF(COUNT(FPIPromoter!K16),(FPIPromoter!K16),""),"")</f>
        <v/>
      </c>
      <c r="M23" s="173" t="str">
        <f>+IFERROR(IF(COUNT(L23),ROUND(L23/'Shareholding Pattern'!$L$57*100,2),""),0)</f>
        <v/>
      </c>
      <c r="N23" s="288" t="str">
        <f>IFERROR(IF(COUNT(FPIPromoter!M16),(FPIPromoter!M16),""),"")</f>
        <v/>
      </c>
      <c r="O23" s="190" t="str">
        <f>IFERROR(IF(COUNT(FPIPromoter!N16),(FPIPromoter!N16),""),"")</f>
        <v/>
      </c>
      <c r="P23" s="192" t="str">
        <f>IFERROR(IF(COUNT(FPIPromoter!O16),(FPIPromoter!O16),""),"")</f>
        <v/>
      </c>
      <c r="Q23" s="182" t="str">
        <f>IFERROR(IF(COUNT(FPIPromoter!P16),(FPIPromoter!P16),""),0)</f>
        <v/>
      </c>
      <c r="R23" s="192" t="str">
        <f>IFERROR(IF(COUNT(FPIPromoter!Q16),(FPIPromoter!Q16),""),"")</f>
        <v/>
      </c>
      <c r="S23" s="192" t="str">
        <f>IFERROR(IF(COUNT(FPIPromoter!R16),(FPIPromoter!R16),""),"")</f>
        <v/>
      </c>
      <c r="T23" s="192" t="str">
        <f>IFERROR(IF(COUNT(FPIPromoter!S16),(FPIPromoter!S16),""),"")</f>
        <v/>
      </c>
      <c r="U23" s="134" t="str">
        <f>+IFERROR(IF(COUNT(L23,T23),ROUND(SUM(L23,T23)/SUM('Shareholding Pattern'!$L$57,'Shareholding Pattern'!$T$57)*100,2),""),0)</f>
        <v/>
      </c>
      <c r="V23" s="211" t="str">
        <f>IFERROR(IF(COUNT(FPIPromoter!U16),(FPIPromoter!U16),""),"")</f>
        <v/>
      </c>
      <c r="W23" s="186" t="str">
        <f t="shared" si="3"/>
        <v/>
      </c>
      <c r="X23" s="211" t="str">
        <f>IFERROR(IF(COUNT(FPIPromoter!W16),(FPIPromoter!W16),""),"")</f>
        <v/>
      </c>
      <c r="Y23" s="134" t="str">
        <f t="shared" si="4"/>
        <v/>
      </c>
      <c r="Z23" s="192" t="str">
        <f>IFERROR(IF(COUNT(FPIPromoter!Y16),(FPIPromoter!Y16),""),"")</f>
        <v/>
      </c>
      <c r="AA23" s="101"/>
      <c r="AR23" t="s">
        <v>191</v>
      </c>
      <c r="AX23" t="s">
        <v>336</v>
      </c>
      <c r="AZ23" t="s">
        <v>233</v>
      </c>
      <c r="BF23" t="s">
        <v>373</v>
      </c>
    </row>
    <row r="24" spans="5:58" ht="20.100000000000001" customHeight="1">
      <c r="E24" s="116" t="s">
        <v>42</v>
      </c>
      <c r="F24" s="253" t="s">
        <v>33</v>
      </c>
      <c r="H24" s="219" t="str">
        <f>IFERROR(IF(COUNT(OtherForeign!$AG$13),IF(OtherForeign!$AG$13=0,"0",OtherForeign!$AG$13),""),"")</f>
        <v/>
      </c>
      <c r="I24" s="219" t="str">
        <f>IFERROR(IF(COUNT(OtherForeign!J16),(OtherForeign!J16),""),"")</f>
        <v/>
      </c>
      <c r="J24" s="219" t="str">
        <f>IFERROR(IF(COUNT(OtherForeign!K16),(OtherForeign!K16),""),"")</f>
        <v/>
      </c>
      <c r="K24" s="117" t="str">
        <f>IFERROR(IF(COUNT(OtherForeign!L16),(OtherForeign!L16),""),"")</f>
        <v/>
      </c>
      <c r="L24" s="219" t="str">
        <f>IFERROR(IF(COUNT(OtherForeign!M16),(OtherForeign!M16),""),"")</f>
        <v/>
      </c>
      <c r="M24" s="215" t="str">
        <f>+IFERROR(IF(COUNT(L24),ROUND(L24/'Shareholding Pattern'!$L$57*100,2),""),0)</f>
        <v/>
      </c>
      <c r="N24" s="288" t="str">
        <f>IFERROR(IF(COUNT(OtherForeign!O16),(OtherForeign!O16),""),"")</f>
        <v/>
      </c>
      <c r="O24" s="190" t="str">
        <f>IFERROR(IF(COUNT(OtherForeign!P16),(OtherForeign!P16),""),"")</f>
        <v/>
      </c>
      <c r="P24" s="219" t="str">
        <f>IFERROR(IF(COUNT(OtherForeign!Q16),(OtherForeign!Q16),""),"")</f>
        <v/>
      </c>
      <c r="Q24" s="220" t="str">
        <f>IFERROR(IF(COUNT(OtherForeign!R16),(OtherForeign!R16),""),0)</f>
        <v/>
      </c>
      <c r="R24" s="219" t="str">
        <f>IFERROR(IF(COUNT(OtherForeign!S16),(OtherForeign!S16),""),"")</f>
        <v/>
      </c>
      <c r="S24" s="219" t="str">
        <f>IFERROR(IF(COUNT(OtherForeign!T16),(OtherForeign!T16),""),"")</f>
        <v/>
      </c>
      <c r="T24" s="219" t="str">
        <f>IFERROR(IF(COUNT(OtherForeign!U16),(OtherForeign!U16),""),"")</f>
        <v/>
      </c>
      <c r="U24" s="136" t="str">
        <f>+IFERROR(IF(COUNT(L24,T24),ROUND(SUM(L24,T24)/SUM('Shareholding Pattern'!$L$57,'Shareholding Pattern'!$T$57)*100,2),""),0)</f>
        <v/>
      </c>
      <c r="V24" s="211" t="str">
        <f>IFERROR(IF(COUNT(OtherForeign!W16),(OtherForeign!W16),""),"")</f>
        <v/>
      </c>
      <c r="W24" s="234" t="str">
        <f t="shared" si="3"/>
        <v/>
      </c>
      <c r="X24" s="211" t="str">
        <f>IFERROR(IF(COUNT(OtherForeign!Y16),(OtherForeign!Y16),""),"")</f>
        <v/>
      </c>
      <c r="Y24" s="136" t="str">
        <f t="shared" si="4"/>
        <v/>
      </c>
      <c r="Z24" s="219" t="str">
        <f>IFERROR(IF(COUNT(OtherForeign!AA16),(OtherForeign!AA16),""),"")</f>
        <v/>
      </c>
      <c r="AA24" s="101"/>
      <c r="AR24" t="s">
        <v>193</v>
      </c>
      <c r="AX24" t="s">
        <v>337</v>
      </c>
      <c r="AZ24" t="s">
        <v>234</v>
      </c>
      <c r="BF24" t="s">
        <v>357</v>
      </c>
    </row>
    <row r="25" spans="5:58" ht="20.100000000000001" customHeight="1">
      <c r="E25" s="489" t="s">
        <v>43</v>
      </c>
      <c r="F25" s="489"/>
      <c r="G25" s="489"/>
      <c r="H25" s="160" t="str">
        <f>+IFERROR(IF(COUNT(H20:H24),ROUND(SUM(H20:H24),0),""),"")</f>
        <v/>
      </c>
      <c r="I25" s="160" t="str">
        <f t="shared" ref="I25:Z25" si="5">+IFERROR(IF(COUNT(I20:I24),ROUND(SUM(I20:I24),0),""),"")</f>
        <v/>
      </c>
      <c r="J25" s="160" t="str">
        <f t="shared" si="5"/>
        <v/>
      </c>
      <c r="K25" s="158" t="str">
        <f t="shared" si="5"/>
        <v/>
      </c>
      <c r="L25" s="160" t="str">
        <f t="shared" si="5"/>
        <v/>
      </c>
      <c r="M25" s="175" t="str">
        <f>+IFERROR(IF(COUNT(L25),ROUND(L25/'Shareholding Pattern'!$L$57*100,2),""),0)</f>
        <v/>
      </c>
      <c r="N25" s="159" t="str">
        <f t="shared" si="5"/>
        <v/>
      </c>
      <c r="O25" s="159" t="str">
        <f t="shared" si="5"/>
        <v/>
      </c>
      <c r="P25" s="160" t="str">
        <f t="shared" si="5"/>
        <v/>
      </c>
      <c r="Q25" s="183" t="str">
        <f>IFERROR(IF(COUNT(P25),ROUND(P25/$P$58*100,2),""),0)</f>
        <v/>
      </c>
      <c r="R25" s="356" t="str">
        <f t="shared" si="5"/>
        <v/>
      </c>
      <c r="S25" s="356" t="str">
        <f t="shared" si="5"/>
        <v/>
      </c>
      <c r="T25" s="160" t="str">
        <f t="shared" si="5"/>
        <v/>
      </c>
      <c r="U25" s="137" t="str">
        <f>+IFERROR(IF(COUNT(L25,T25),ROUND(SUM(L25,T25)/SUM('Shareholding Pattern'!$L$57,'Shareholding Pattern'!$T$57)*100,2),""),0)</f>
        <v/>
      </c>
      <c r="V25" s="160" t="str">
        <f t="shared" si="5"/>
        <v/>
      </c>
      <c r="W25" s="187" t="str">
        <f t="shared" si="3"/>
        <v/>
      </c>
      <c r="X25" s="64" t="str">
        <f t="shared" si="5"/>
        <v/>
      </c>
      <c r="Y25" s="138" t="str">
        <f t="shared" si="4"/>
        <v/>
      </c>
      <c r="Z25" s="160" t="str">
        <f t="shared" si="5"/>
        <v/>
      </c>
      <c r="AR25" t="s">
        <v>194</v>
      </c>
      <c r="AX25" t="s">
        <v>220</v>
      </c>
      <c r="AZ25" t="s">
        <v>235</v>
      </c>
      <c r="BF25" t="s">
        <v>358</v>
      </c>
    </row>
    <row r="26" spans="5:58" ht="36.75" customHeight="1">
      <c r="E26" s="488" t="s">
        <v>105</v>
      </c>
      <c r="F26" s="488"/>
      <c r="G26" s="488"/>
      <c r="H26" s="160">
        <f t="shared" ref="H26:Z26" si="6">+IFERROR(IF(COUNT(H18,H25),ROUND(SUM(H18,H25),0),""),"")</f>
        <v>8</v>
      </c>
      <c r="I26" s="160">
        <f t="shared" si="6"/>
        <v>179990</v>
      </c>
      <c r="J26" s="160" t="str">
        <f t="shared" si="6"/>
        <v/>
      </c>
      <c r="K26" s="158" t="str">
        <f t="shared" si="6"/>
        <v/>
      </c>
      <c r="L26" s="160">
        <f t="shared" si="6"/>
        <v>179990</v>
      </c>
      <c r="M26" s="175">
        <f>+IFERROR(IF(COUNT(L26),ROUND(L26/'Shareholding Pattern'!$L$57*100,2),""),0)</f>
        <v>75</v>
      </c>
      <c r="N26" s="159">
        <f t="shared" si="6"/>
        <v>179990</v>
      </c>
      <c r="O26" s="159" t="str">
        <f t="shared" si="6"/>
        <v/>
      </c>
      <c r="P26" s="160">
        <f t="shared" si="6"/>
        <v>179990</v>
      </c>
      <c r="Q26" s="183">
        <f>IFERROR(IF(COUNT(P26),ROUND(P26/$P$58*100,2),""),0)</f>
        <v>75</v>
      </c>
      <c r="R26" s="356" t="str">
        <f t="shared" si="6"/>
        <v/>
      </c>
      <c r="S26" s="356" t="str">
        <f t="shared" si="6"/>
        <v/>
      </c>
      <c r="T26" s="160" t="str">
        <f t="shared" si="6"/>
        <v/>
      </c>
      <c r="U26" s="137">
        <f>+IFERROR(IF(COUNT(L26,T26),ROUND(SUM(L26,T26)/SUM('Shareholding Pattern'!$L$57,'Shareholding Pattern'!$T$57)*100,2),""),0)</f>
        <v>75</v>
      </c>
      <c r="V26" s="160" t="str">
        <f t="shared" si="6"/>
        <v/>
      </c>
      <c r="W26" s="187" t="str">
        <f>+IFERROR(IF(COUNT(V26),ROUND(SUM(V26)/SUM(L26)*100,2),""),0)</f>
        <v/>
      </c>
      <c r="X26" s="160" t="str">
        <f t="shared" si="6"/>
        <v/>
      </c>
      <c r="Y26" s="138" t="str">
        <f t="shared" si="4"/>
        <v/>
      </c>
      <c r="Z26" s="160">
        <f t="shared" si="6"/>
        <v>179990</v>
      </c>
      <c r="AR26" t="s">
        <v>195</v>
      </c>
      <c r="AX26" t="s">
        <v>338</v>
      </c>
      <c r="AZ26" t="s">
        <v>236</v>
      </c>
      <c r="BF26" t="s">
        <v>359</v>
      </c>
    </row>
    <row r="27" spans="5:58" ht="33" customHeight="1">
      <c r="E27" s="157"/>
      <c r="F27" s="247" t="s">
        <v>427</v>
      </c>
      <c r="M27"/>
      <c r="N27"/>
      <c r="O27"/>
      <c r="Q27"/>
      <c r="U27"/>
      <c r="V27"/>
      <c r="W27"/>
      <c r="X27"/>
      <c r="Y27"/>
      <c r="AX27" t="s">
        <v>339</v>
      </c>
      <c r="AZ27" t="s">
        <v>237</v>
      </c>
      <c r="BF27" t="s">
        <v>360</v>
      </c>
    </row>
    <row r="28" spans="5:58" ht="31.5" customHeight="1">
      <c r="E28" s="118" t="s">
        <v>44</v>
      </c>
      <c r="F28" s="325" t="s">
        <v>45</v>
      </c>
      <c r="G28" s="326"/>
      <c r="H28" s="371" t="s">
        <v>507</v>
      </c>
      <c r="I28" s="357"/>
      <c r="J28" s="357"/>
      <c r="K28" s="326"/>
      <c r="L28" s="326"/>
      <c r="M28" s="326"/>
      <c r="N28" s="326"/>
      <c r="O28" s="326"/>
      <c r="P28" s="357"/>
      <c r="Q28" s="326"/>
      <c r="R28" s="357"/>
      <c r="S28" s="357"/>
      <c r="T28" s="357"/>
      <c r="U28" s="326"/>
      <c r="V28" s="326"/>
      <c r="W28" s="326"/>
      <c r="X28" s="326"/>
      <c r="Y28" s="326"/>
      <c r="Z28" s="367"/>
      <c r="AX28" t="s">
        <v>340</v>
      </c>
      <c r="AZ28" t="s">
        <v>238</v>
      </c>
      <c r="BF28" t="s">
        <v>361</v>
      </c>
    </row>
    <row r="29" spans="5:58" ht="20.100000000000001" customHeight="1">
      <c r="E29" s="108" t="s">
        <v>24</v>
      </c>
      <c r="F29" s="507" t="s">
        <v>40</v>
      </c>
      <c r="G29" s="508"/>
      <c r="H29" s="508"/>
      <c r="I29" s="508"/>
      <c r="J29" s="508"/>
      <c r="K29" s="508"/>
      <c r="L29" s="508"/>
      <c r="M29" s="508"/>
      <c r="N29" s="508"/>
      <c r="O29" s="508"/>
      <c r="P29" s="508"/>
      <c r="Q29" s="508"/>
      <c r="R29" s="508"/>
      <c r="S29" s="508"/>
      <c r="T29" s="508"/>
      <c r="U29" s="508"/>
      <c r="V29" s="508"/>
      <c r="W29" s="508"/>
      <c r="X29" s="508"/>
      <c r="Y29" s="508"/>
      <c r="Z29" s="508"/>
      <c r="AX29" t="s">
        <v>341</v>
      </c>
      <c r="AZ29" t="s">
        <v>239</v>
      </c>
      <c r="BF29" t="s">
        <v>362</v>
      </c>
    </row>
    <row r="30" spans="5:58" ht="20.100000000000001" customHeight="1">
      <c r="E30" s="110" t="s">
        <v>26</v>
      </c>
      <c r="F30" s="254" t="s">
        <v>46</v>
      </c>
      <c r="H30" s="296"/>
      <c r="I30" s="296"/>
      <c r="J30" s="296"/>
      <c r="K30" s="132"/>
      <c r="L30" s="216" t="str">
        <f>+IFERROR(IF(COUNT(I30:K30),ROUND(SUM(I30:K30),0),""),"")</f>
        <v/>
      </c>
      <c r="M30" s="217" t="str">
        <f>+IFERROR(IF(COUNT(L30),ROUND(L30/'Shareholding Pattern'!$L$57*100,2),""),"")</f>
        <v/>
      </c>
      <c r="N30" s="324" t="str">
        <f t="shared" ref="N30" si="7">IF(I30="","",I30)</f>
        <v/>
      </c>
      <c r="O30" s="132"/>
      <c r="P30" s="192" t="str">
        <f>+IFERROR(IF(COUNT(N30:O30),ROUND(SUM(N30:O30),0),""),"")</f>
        <v/>
      </c>
      <c r="Q30" s="182" t="str">
        <f>+IFERROR(IF(COUNT(P30),ROUND(P30/'Shareholding Pattern'!$P$58*100,2),""),"")</f>
        <v/>
      </c>
      <c r="R30" s="296"/>
      <c r="S30" s="296"/>
      <c r="T30" s="192" t="str">
        <f>+IFERROR(IF(COUNT(R30:S30),ROUND(SUM(R30:S30),0),""),"")</f>
        <v/>
      </c>
      <c r="U30" s="218" t="str">
        <f>+IFERROR(IF(COUNT(L30,T30),ROUND(SUM(L30,T30)/SUM('Shareholding Pattern'!$L$57,'Shareholding Pattern'!$T$57)*100,2),""),"")</f>
        <v/>
      </c>
      <c r="V30" s="132"/>
      <c r="W30" s="186" t="str">
        <f t="shared" ref="W30:W41" si="8">+IFERROR(IF(COUNT(V30),ROUND(SUM(V30)/SUM(L30)*100,2),""),0)</f>
        <v/>
      </c>
      <c r="X30" s="492"/>
      <c r="Y30" s="493"/>
      <c r="Z30" s="296"/>
      <c r="AR30" t="s">
        <v>310</v>
      </c>
      <c r="AX30" t="s">
        <v>342</v>
      </c>
      <c r="AZ30" t="s">
        <v>240</v>
      </c>
      <c r="BF30" t="s">
        <v>363</v>
      </c>
    </row>
    <row r="31" spans="5:58" ht="20.100000000000001" customHeight="1">
      <c r="E31" s="110" t="s">
        <v>28</v>
      </c>
      <c r="F31" s="251" t="s">
        <v>47</v>
      </c>
      <c r="H31" s="296"/>
      <c r="I31" s="296"/>
      <c r="J31" s="296"/>
      <c r="K31" s="132"/>
      <c r="L31" s="192" t="str">
        <f t="shared" ref="L31:L39" si="9">+IFERROR(IF(COUNT(I31:K31),ROUND(SUM(I31:K31),0),""),"")</f>
        <v/>
      </c>
      <c r="M31" s="217" t="str">
        <f>+IFERROR(IF(COUNT(L31),ROUND(L31/'Shareholding Pattern'!$L$57*100,2),""),"")</f>
        <v/>
      </c>
      <c r="N31" s="324" t="str">
        <f>IF(I31="","",I31)</f>
        <v/>
      </c>
      <c r="O31" s="132"/>
      <c r="P31" s="192" t="str">
        <f t="shared" ref="P31:P38" si="10">+IFERROR(IF(COUNT(N31:O31),ROUND(SUM(N31:O31),0),""),"")</f>
        <v/>
      </c>
      <c r="Q31" s="182" t="str">
        <f>+IFERROR(IF(COUNT(P31),ROUND(P31/'Shareholding Pattern'!$P$58*100,2),""),"")</f>
        <v/>
      </c>
      <c r="R31" s="296"/>
      <c r="S31" s="296"/>
      <c r="T31" s="192" t="str">
        <f t="shared" ref="T31:T38" si="11">+IFERROR(IF(COUNT(R31:S31),ROUND(SUM(R31:S31),0),""),"")</f>
        <v/>
      </c>
      <c r="U31" s="218" t="str">
        <f>+IFERROR(IF(COUNT(L31,T31),ROUND(SUM(L31,T31)/SUM('Shareholding Pattern'!$L$57,'Shareholding Pattern'!$T$57)*100,2),""),"")</f>
        <v/>
      </c>
      <c r="V31" s="132"/>
      <c r="W31" s="186" t="str">
        <f t="shared" si="8"/>
        <v/>
      </c>
      <c r="X31" s="494"/>
      <c r="Y31" s="495"/>
      <c r="Z31" s="296"/>
      <c r="AR31" t="s">
        <v>196</v>
      </c>
      <c r="AX31" t="s">
        <v>343</v>
      </c>
      <c r="AZ31" t="s">
        <v>241</v>
      </c>
      <c r="BF31" t="s">
        <v>374</v>
      </c>
    </row>
    <row r="32" spans="5:58" ht="20.100000000000001" customHeight="1">
      <c r="E32" s="110" t="s">
        <v>30</v>
      </c>
      <c r="F32" s="251" t="s">
        <v>48</v>
      </c>
      <c r="H32" s="296"/>
      <c r="I32" s="296"/>
      <c r="J32" s="296"/>
      <c r="K32" s="132"/>
      <c r="L32" s="192" t="str">
        <f t="shared" si="9"/>
        <v/>
      </c>
      <c r="M32" s="217" t="str">
        <f>+IFERROR(IF(COUNT(L32),ROUND(L32/'Shareholding Pattern'!$L$57*100,2),""),"")</f>
        <v/>
      </c>
      <c r="N32" s="324" t="str">
        <f t="shared" ref="N32:N38" si="12">IF(I32="","",I32)</f>
        <v/>
      </c>
      <c r="O32" s="132"/>
      <c r="P32" s="192" t="str">
        <f t="shared" si="10"/>
        <v/>
      </c>
      <c r="Q32" s="182" t="str">
        <f>+IFERROR(IF(COUNT(P32),ROUND(P32/'Shareholding Pattern'!$P$58*100,2),""),"")</f>
        <v/>
      </c>
      <c r="R32" s="296"/>
      <c r="S32" s="296"/>
      <c r="T32" s="192" t="str">
        <f t="shared" si="11"/>
        <v/>
      </c>
      <c r="U32" s="218" t="str">
        <f>+IFERROR(IF(COUNT(L32,T32),ROUND(SUM(L32,T32)/SUM('Shareholding Pattern'!$L$57,'Shareholding Pattern'!$T$57)*100,2),""),"")</f>
        <v/>
      </c>
      <c r="V32" s="132"/>
      <c r="W32" s="186" t="str">
        <f t="shared" si="8"/>
        <v/>
      </c>
      <c r="X32" s="494"/>
      <c r="Y32" s="495"/>
      <c r="Z32" s="296"/>
      <c r="AR32" t="s">
        <v>197</v>
      </c>
      <c r="AX32" t="s">
        <v>221</v>
      </c>
      <c r="AZ32" t="s">
        <v>242</v>
      </c>
      <c r="BF32" t="s">
        <v>364</v>
      </c>
    </row>
    <row r="33" spans="5:58" ht="20.100000000000001" customHeight="1">
      <c r="E33" s="110" t="s">
        <v>32</v>
      </c>
      <c r="F33" s="251" t="s">
        <v>49</v>
      </c>
      <c r="H33" s="296"/>
      <c r="I33" s="296"/>
      <c r="J33" s="296"/>
      <c r="K33" s="132"/>
      <c r="L33" s="192" t="str">
        <f t="shared" si="9"/>
        <v/>
      </c>
      <c r="M33" s="217" t="str">
        <f>+IFERROR(IF(COUNT(L33),ROUND(L33/'Shareholding Pattern'!$L$57*100,2),""),"")</f>
        <v/>
      </c>
      <c r="N33" s="324" t="str">
        <f t="shared" si="12"/>
        <v/>
      </c>
      <c r="O33" s="132"/>
      <c r="P33" s="192" t="str">
        <f t="shared" si="10"/>
        <v/>
      </c>
      <c r="Q33" s="182" t="str">
        <f>+IFERROR(IF(COUNT(P33),ROUND(P33/'Shareholding Pattern'!$P$58*100,2),""),"")</f>
        <v/>
      </c>
      <c r="R33" s="296"/>
      <c r="S33" s="296"/>
      <c r="T33" s="192" t="str">
        <f t="shared" si="11"/>
        <v/>
      </c>
      <c r="U33" s="218" t="str">
        <f>+IFERROR(IF(COUNT(L33,T33),ROUND(SUM(L33,T33)/SUM('Shareholding Pattern'!$L$57,'Shareholding Pattern'!$T$57)*100,2),""),"")</f>
        <v/>
      </c>
      <c r="V33" s="132"/>
      <c r="W33" s="186" t="str">
        <f t="shared" si="8"/>
        <v/>
      </c>
      <c r="X33" s="494"/>
      <c r="Y33" s="495"/>
      <c r="Z33" s="296"/>
      <c r="AR33" t="s">
        <v>198</v>
      </c>
      <c r="AX33" t="s">
        <v>222</v>
      </c>
      <c r="AZ33" t="s">
        <v>243</v>
      </c>
      <c r="BF33" t="s">
        <v>365</v>
      </c>
    </row>
    <row r="34" spans="5:58" ht="20.100000000000001" customHeight="1">
      <c r="E34" s="110" t="s">
        <v>42</v>
      </c>
      <c r="F34" s="251" t="s">
        <v>50</v>
      </c>
      <c r="H34" s="296"/>
      <c r="I34" s="296"/>
      <c r="J34" s="296"/>
      <c r="K34" s="132"/>
      <c r="L34" s="192" t="str">
        <f t="shared" si="9"/>
        <v/>
      </c>
      <c r="M34" s="217" t="str">
        <f>+IFERROR(IF(COUNT(L34),ROUND(L34/'Shareholding Pattern'!$L$57*100,2),""),"")</f>
        <v/>
      </c>
      <c r="N34" s="324" t="str">
        <f t="shared" si="12"/>
        <v/>
      </c>
      <c r="O34" s="132"/>
      <c r="P34" s="192" t="str">
        <f t="shared" si="10"/>
        <v/>
      </c>
      <c r="Q34" s="182" t="str">
        <f>+IFERROR(IF(COUNT(P34),ROUND(P34/'Shareholding Pattern'!$P$58*100,2),""),"")</f>
        <v/>
      </c>
      <c r="R34" s="296"/>
      <c r="S34" s="296"/>
      <c r="T34" s="192" t="str">
        <f>+IFERROR(IF(COUNT(R34,S34),ROUND(SUM(R34,S34),0),""),"")</f>
        <v/>
      </c>
      <c r="U34" s="218" t="str">
        <f>+IFERROR(IF(COUNT(L34,T34),ROUND(SUM(L34,T34)/SUM('Shareholding Pattern'!$L$57,'Shareholding Pattern'!$T$57)*100,2),""),"")</f>
        <v/>
      </c>
      <c r="V34" s="132"/>
      <c r="W34" s="186" t="str">
        <f t="shared" si="8"/>
        <v/>
      </c>
      <c r="X34" s="494"/>
      <c r="Y34" s="495"/>
      <c r="Z34" s="296"/>
      <c r="AR34" t="s">
        <v>199</v>
      </c>
      <c r="AX34" t="s">
        <v>223</v>
      </c>
      <c r="AZ34" t="s">
        <v>244</v>
      </c>
      <c r="BF34" t="s">
        <v>366</v>
      </c>
    </row>
    <row r="35" spans="5:58" ht="20.100000000000001" customHeight="1">
      <c r="E35" s="110" t="s">
        <v>51</v>
      </c>
      <c r="F35" s="251" t="s">
        <v>31</v>
      </c>
      <c r="H35" s="296"/>
      <c r="I35" s="296"/>
      <c r="J35" s="296"/>
      <c r="K35" s="132"/>
      <c r="L35" s="192" t="str">
        <f t="shared" si="9"/>
        <v/>
      </c>
      <c r="M35" s="217" t="str">
        <f>+IFERROR(IF(COUNT(L35),ROUND(L35/'Shareholding Pattern'!$L$57*100,2),""),"")</f>
        <v/>
      </c>
      <c r="N35" s="324" t="str">
        <f t="shared" si="12"/>
        <v/>
      </c>
      <c r="O35" s="132"/>
      <c r="P35" s="192" t="str">
        <f t="shared" si="10"/>
        <v/>
      </c>
      <c r="Q35" s="182" t="str">
        <f>+IFERROR(IF(COUNT(P35),ROUND(P35/'Shareholding Pattern'!$P$58*100,2),""),"")</f>
        <v/>
      </c>
      <c r="R35" s="296"/>
      <c r="S35" s="296"/>
      <c r="T35" s="192" t="str">
        <f t="shared" si="11"/>
        <v/>
      </c>
      <c r="U35" s="218" t="str">
        <f>+IFERROR(IF(COUNT(L35,T35),ROUND(SUM(L35,T35)/SUM('Shareholding Pattern'!$L$57,'Shareholding Pattern'!$T$57)*100,2),""),"")</f>
        <v/>
      </c>
      <c r="V35" s="132"/>
      <c r="W35" s="186" t="str">
        <f t="shared" si="8"/>
        <v/>
      </c>
      <c r="X35" s="494"/>
      <c r="Y35" s="495"/>
      <c r="Z35" s="296"/>
      <c r="AR35" t="s">
        <v>200</v>
      </c>
      <c r="AX35" t="s">
        <v>224</v>
      </c>
      <c r="AZ35" t="s">
        <v>389</v>
      </c>
      <c r="BF35" t="s">
        <v>367</v>
      </c>
    </row>
    <row r="36" spans="5:58" ht="20.100000000000001" customHeight="1">
      <c r="E36" s="110" t="s">
        <v>52</v>
      </c>
      <c r="F36" s="251" t="s">
        <v>53</v>
      </c>
      <c r="H36" s="296"/>
      <c r="I36" s="296"/>
      <c r="J36" s="296"/>
      <c r="K36" s="132"/>
      <c r="L36" s="192" t="str">
        <f t="shared" si="9"/>
        <v/>
      </c>
      <c r="M36" s="217" t="str">
        <f>+IFERROR(IF(COUNT(L36),ROUND(L36/'Shareholding Pattern'!$L$57*100,2),""),"")</f>
        <v/>
      </c>
      <c r="N36" s="324" t="str">
        <f t="shared" si="12"/>
        <v/>
      </c>
      <c r="O36" s="132"/>
      <c r="P36" s="192" t="str">
        <f t="shared" si="10"/>
        <v/>
      </c>
      <c r="Q36" s="182" t="str">
        <f>+IFERROR(IF(COUNT(P36),ROUND(P36/'Shareholding Pattern'!$P$58*100,2),""),"")</f>
        <v/>
      </c>
      <c r="R36" s="296"/>
      <c r="S36" s="296"/>
      <c r="T36" s="192" t="str">
        <f t="shared" si="11"/>
        <v/>
      </c>
      <c r="U36" s="218" t="str">
        <f>+IFERROR(IF(COUNT(L36,T36),ROUND(SUM(L36,T36)/SUM('Shareholding Pattern'!$L$57,'Shareholding Pattern'!$T$57)*100,2),""),"")</f>
        <v/>
      </c>
      <c r="V36" s="132"/>
      <c r="W36" s="186" t="str">
        <f t="shared" si="8"/>
        <v/>
      </c>
      <c r="X36" s="494"/>
      <c r="Y36" s="495"/>
      <c r="Z36" s="296"/>
      <c r="AR36" t="s">
        <v>201</v>
      </c>
      <c r="AX36" t="s">
        <v>344</v>
      </c>
      <c r="AZ36" t="s">
        <v>245</v>
      </c>
      <c r="BF36" t="s">
        <v>368</v>
      </c>
    </row>
    <row r="37" spans="5:58" ht="20.100000000000001" customHeight="1">
      <c r="E37" s="110" t="s">
        <v>54</v>
      </c>
      <c r="F37" s="251" t="s">
        <v>55</v>
      </c>
      <c r="H37" s="296"/>
      <c r="I37" s="296"/>
      <c r="J37" s="296"/>
      <c r="K37" s="132"/>
      <c r="L37" s="192" t="str">
        <f t="shared" si="9"/>
        <v/>
      </c>
      <c r="M37" s="217" t="str">
        <f>+IFERROR(IF(COUNT(L37),ROUND(L37/'Shareholding Pattern'!$L$57*100,2),""),"")</f>
        <v/>
      </c>
      <c r="N37" s="324" t="str">
        <f t="shared" si="12"/>
        <v/>
      </c>
      <c r="O37" s="132"/>
      <c r="P37" s="192" t="str">
        <f t="shared" si="10"/>
        <v/>
      </c>
      <c r="Q37" s="182" t="str">
        <f>+IFERROR(IF(COUNT(P37),ROUND(P37/'Shareholding Pattern'!$P$58*100,2),""),"")</f>
        <v/>
      </c>
      <c r="R37" s="296"/>
      <c r="S37" s="296"/>
      <c r="T37" s="192" t="str">
        <f t="shared" si="11"/>
        <v/>
      </c>
      <c r="U37" s="218" t="str">
        <f>+IFERROR(IF(COUNT(L37,T37),ROUND(SUM(L37,T37)/SUM('Shareholding Pattern'!$L$57,'Shareholding Pattern'!$T$57)*100,2),""),"")</f>
        <v/>
      </c>
      <c r="V37" s="132"/>
      <c r="W37" s="186" t="str">
        <f t="shared" si="8"/>
        <v/>
      </c>
      <c r="X37" s="494"/>
      <c r="Y37" s="495"/>
      <c r="Z37" s="296"/>
      <c r="AR37" t="s">
        <v>202</v>
      </c>
      <c r="AX37" t="s">
        <v>225</v>
      </c>
      <c r="AZ37" t="s">
        <v>246</v>
      </c>
      <c r="BF37" t="s">
        <v>376</v>
      </c>
    </row>
    <row r="38" spans="5:58" ht="20.100000000000001" customHeight="1">
      <c r="E38" s="116" t="s">
        <v>56</v>
      </c>
      <c r="F38" s="253" t="s">
        <v>33</v>
      </c>
      <c r="H38" s="296"/>
      <c r="I38" s="296"/>
      <c r="J38" s="296"/>
      <c r="K38" s="132"/>
      <c r="L38" s="219" t="str">
        <f t="shared" si="9"/>
        <v/>
      </c>
      <c r="M38" s="260" t="str">
        <f>+IFERROR(IF(COUNT(L38),ROUND(L38/'Shareholding Pattern'!$L$57*100,2),""),"")</f>
        <v/>
      </c>
      <c r="N38" s="324" t="str">
        <f t="shared" si="12"/>
        <v/>
      </c>
      <c r="O38" s="132"/>
      <c r="P38" s="219" t="str">
        <f t="shared" si="10"/>
        <v/>
      </c>
      <c r="Q38" s="220" t="str">
        <f>+IFERROR(IF(COUNT(P38),ROUND(P38/'Shareholding Pattern'!$P$58*100,2),""),"")</f>
        <v/>
      </c>
      <c r="R38" s="296"/>
      <c r="S38" s="296"/>
      <c r="T38" s="219" t="str">
        <f t="shared" si="11"/>
        <v/>
      </c>
      <c r="U38" s="221" t="str">
        <f>+IFERROR(IF(COUNT(L38,T38),ROUND(SUM(L38,T38)/SUM('Shareholding Pattern'!$L$57,'Shareholding Pattern'!$T$57)*100,2),""),"")</f>
        <v/>
      </c>
      <c r="V38" s="132"/>
      <c r="W38" s="186" t="str">
        <f t="shared" si="8"/>
        <v/>
      </c>
      <c r="X38" s="494"/>
      <c r="Y38" s="495"/>
      <c r="Z38" s="296"/>
      <c r="AR38" t="s">
        <v>203</v>
      </c>
      <c r="AX38" t="s">
        <v>345</v>
      </c>
      <c r="AZ38" t="s">
        <v>247</v>
      </c>
      <c r="BF38" t="s">
        <v>377</v>
      </c>
    </row>
    <row r="39" spans="5:58" ht="20.100000000000001" customHeight="1">
      <c r="E39" s="489" t="s">
        <v>57</v>
      </c>
      <c r="F39" s="489"/>
      <c r="G39" s="489"/>
      <c r="H39" s="64" t="str">
        <f t="shared" ref="H39:Z39" si="13">+IFERROR(IF(COUNT(H30:H38),ROUND(SUM(H30:H38),0),""),"")</f>
        <v/>
      </c>
      <c r="I39" s="64" t="str">
        <f t="shared" si="13"/>
        <v/>
      </c>
      <c r="J39" s="64" t="str">
        <f t="shared" si="13"/>
        <v/>
      </c>
      <c r="K39" s="64" t="str">
        <f t="shared" si="13"/>
        <v/>
      </c>
      <c r="L39" s="64" t="str">
        <f t="shared" si="9"/>
        <v/>
      </c>
      <c r="M39" s="176" t="str">
        <f>+IFERROR(IF(COUNT(L39),ROUND(L39/'Shareholding Pattern'!$L$57*100,2),""),"")</f>
        <v/>
      </c>
      <c r="N39" s="176" t="str">
        <f t="shared" si="13"/>
        <v/>
      </c>
      <c r="O39" s="176" t="str">
        <f t="shared" si="13"/>
        <v/>
      </c>
      <c r="P39" s="64" t="str">
        <f t="shared" si="13"/>
        <v/>
      </c>
      <c r="Q39" s="183" t="str">
        <f>+IFERROR(IF(COUNT(P39),ROUND(P39/'Shareholding Pattern'!$P$58*100,2),""),"")</f>
        <v/>
      </c>
      <c r="R39" s="64" t="str">
        <f t="shared" si="13"/>
        <v/>
      </c>
      <c r="S39" s="64" t="str">
        <f t="shared" si="13"/>
        <v/>
      </c>
      <c r="T39" s="64" t="str">
        <f t="shared" si="13"/>
        <v/>
      </c>
      <c r="U39" s="161" t="str">
        <f>+IFERROR(IF(COUNT(L39,T39),ROUND(SUM(L39,T39)/SUM('Shareholding Pattern'!$L$57,'Shareholding Pattern'!$T$57)*100,2),""),"")</f>
        <v/>
      </c>
      <c r="V39" s="64" t="str">
        <f t="shared" si="13"/>
        <v/>
      </c>
      <c r="W39" s="188" t="str">
        <f t="shared" si="8"/>
        <v/>
      </c>
      <c r="X39" s="494"/>
      <c r="Y39" s="495"/>
      <c r="Z39" s="64" t="str">
        <f t="shared" si="13"/>
        <v/>
      </c>
      <c r="AR39" t="s">
        <v>204</v>
      </c>
      <c r="AX39" t="s">
        <v>346</v>
      </c>
      <c r="AZ39" t="s">
        <v>391</v>
      </c>
      <c r="BF39" t="s">
        <v>379</v>
      </c>
    </row>
    <row r="40" spans="5:58" ht="37.5" customHeight="1">
      <c r="E40" s="162" t="s">
        <v>60</v>
      </c>
      <c r="F40" s="246" t="s">
        <v>61</v>
      </c>
      <c r="G40" s="241"/>
      <c r="H40" s="296"/>
      <c r="I40" s="296"/>
      <c r="J40" s="296"/>
      <c r="K40" s="296"/>
      <c r="L40" s="222" t="str">
        <f>+IFERROR(IF(COUNT(I40:K40),ROUND(SUM(I40:K40),0),""),"")</f>
        <v/>
      </c>
      <c r="M40" s="223" t="str">
        <f>+IFERROR(IF(COUNT(L40),ROUND(L40/'Shareholding Pattern'!$L$57*100,2),""),"")</f>
        <v/>
      </c>
      <c r="N40" s="296" t="str">
        <f>IF(I40="","",I40)</f>
        <v/>
      </c>
      <c r="O40" s="296"/>
      <c r="P40" s="361" t="str">
        <f t="shared" ref="P40" si="14">+IFERROR(IF(COUNT(N40:O40),ROUND(SUM(N40:O40),0),""),"")</f>
        <v/>
      </c>
      <c r="Q40" s="224" t="str">
        <f>+IFERROR(IF(COUNT(P40),ROUND(P40/'Shareholding Pattern'!$P$58*100,2),""),"")</f>
        <v/>
      </c>
      <c r="R40" s="296"/>
      <c r="S40" s="296"/>
      <c r="T40" s="361" t="str">
        <f t="shared" ref="T40" si="15">+IFERROR(IF(COUNT(R40:S40),ROUND(SUM(R40:S40),0),""),"")</f>
        <v/>
      </c>
      <c r="U40" s="225" t="str">
        <f>+IFERROR(IF(COUNT(L40,T40),ROUND(SUM(L40,T40)/SUM('Shareholding Pattern'!$L$57,'Shareholding Pattern'!$T$57)*100,2),""),"")</f>
        <v/>
      </c>
      <c r="V40" s="296"/>
      <c r="W40" s="353" t="str">
        <f t="shared" si="8"/>
        <v/>
      </c>
      <c r="X40" s="494"/>
      <c r="Y40" s="495"/>
      <c r="Z40" s="296"/>
      <c r="AR40" t="s">
        <v>205</v>
      </c>
      <c r="AX40" t="s">
        <v>226</v>
      </c>
      <c r="AZ40" t="s">
        <v>248</v>
      </c>
      <c r="BF40" t="s">
        <v>382</v>
      </c>
    </row>
    <row r="41" spans="5:58" ht="20.100000000000001" customHeight="1">
      <c r="E41" s="489" t="s">
        <v>62</v>
      </c>
      <c r="F41" s="489"/>
      <c r="G41" s="489"/>
      <c r="H41" s="53" t="str">
        <f>+IF(COUNT(H40),SUM(H40),"")</f>
        <v/>
      </c>
      <c r="I41" s="53" t="str">
        <f t="shared" ref="I41:V41" si="16">+IF(COUNT(I40),SUM(I40),"")</f>
        <v/>
      </c>
      <c r="J41" s="53" t="str">
        <f t="shared" si="16"/>
        <v/>
      </c>
      <c r="K41" s="1" t="str">
        <f t="shared" si="16"/>
        <v/>
      </c>
      <c r="L41" s="53" t="str">
        <f t="shared" si="16"/>
        <v/>
      </c>
      <c r="M41" s="176" t="str">
        <f>+IFERROR(IF(COUNT(L41),ROUND(L41/'Shareholding Pattern'!$L$57*100,2),""),"")</f>
        <v/>
      </c>
      <c r="N41" s="34" t="str">
        <f t="shared" si="16"/>
        <v/>
      </c>
      <c r="O41" s="34" t="str">
        <f t="shared" si="16"/>
        <v/>
      </c>
      <c r="P41" s="53" t="str">
        <f t="shared" si="16"/>
        <v/>
      </c>
      <c r="Q41" s="184" t="str">
        <f>+IFERROR(IF(COUNT(P41),ROUND(P41/'Shareholding Pattern'!$P$58*100,2),""),"")</f>
        <v/>
      </c>
      <c r="R41" s="53" t="str">
        <f t="shared" si="16"/>
        <v/>
      </c>
      <c r="S41" s="53" t="str">
        <f t="shared" si="16"/>
        <v/>
      </c>
      <c r="T41" s="53" t="str">
        <f t="shared" si="16"/>
        <v/>
      </c>
      <c r="U41" s="161" t="str">
        <f>+IFERROR(IF(COUNT(L41,T41),ROUND(SUM(L41,T41)/SUM('Shareholding Pattern'!$L$57,'Shareholding Pattern'!$T$57)*100,2),""),"")</f>
        <v/>
      </c>
      <c r="V41" s="53" t="str">
        <f t="shared" si="16"/>
        <v/>
      </c>
      <c r="W41" s="188" t="str">
        <f t="shared" si="8"/>
        <v/>
      </c>
      <c r="X41" s="494"/>
      <c r="Y41" s="495"/>
      <c r="Z41" s="53" t="str">
        <f t="shared" ref="Z41" si="17">+IF(COUNT(Z40),SUM(Z40),"")</f>
        <v/>
      </c>
      <c r="AR41" t="s">
        <v>431</v>
      </c>
    </row>
    <row r="42" spans="5:58" ht="20.100000000000001" customHeight="1">
      <c r="E42" s="114" t="s">
        <v>63</v>
      </c>
      <c r="F42" s="248" t="s">
        <v>64</v>
      </c>
      <c r="G42" s="163"/>
      <c r="H42" s="358"/>
      <c r="I42" s="358"/>
      <c r="J42" s="358"/>
      <c r="K42" s="163"/>
      <c r="L42" s="163"/>
      <c r="M42" s="164"/>
      <c r="N42" s="165"/>
      <c r="O42" s="165"/>
      <c r="P42" s="358"/>
      <c r="Q42" s="164"/>
      <c r="R42" s="358"/>
      <c r="S42" s="358"/>
      <c r="T42" s="358"/>
      <c r="U42" s="163"/>
      <c r="V42" s="165"/>
      <c r="W42" s="166"/>
      <c r="X42" s="494"/>
      <c r="Y42" s="495"/>
      <c r="Z42" s="368"/>
    </row>
    <row r="43" spans="5:58" ht="51.75" customHeight="1">
      <c r="E43" s="149" t="s">
        <v>76</v>
      </c>
      <c r="F43" s="249" t="s">
        <v>65</v>
      </c>
      <c r="H43" s="296">
        <v>10</v>
      </c>
      <c r="I43" s="296">
        <v>59960</v>
      </c>
      <c r="J43" s="296"/>
      <c r="K43" s="296"/>
      <c r="L43" s="226">
        <f>+IFERROR(IF(COUNT(I43:K43),ROUND(SUM(I43:K43),0),""),"")</f>
        <v>59960</v>
      </c>
      <c r="M43" s="227">
        <f>+IFERROR(IF(COUNT(L43),ROUND(L43/'Shareholding Pattern'!$L$57*100,2),""),"")</f>
        <v>24.98</v>
      </c>
      <c r="N43" s="296">
        <v>59960</v>
      </c>
      <c r="O43" s="296"/>
      <c r="P43" s="226">
        <f t="shared" ref="P43" si="18">+IFERROR(IF(COUNT(N43:O43),ROUND(SUM(N43:O43),0),""),"")</f>
        <v>59960</v>
      </c>
      <c r="Q43" s="180">
        <f>+IFERROR(IF(COUNT(P43),ROUND(P43/'Shareholding Pattern'!$P$58*100,2),""),"")</f>
        <v>24.98</v>
      </c>
      <c r="R43" s="296"/>
      <c r="S43" s="296"/>
      <c r="T43" s="226" t="str">
        <f>+IFERROR(IF(COUNT(R43:S43),ROUND(SUM(R43:S43),0),""),"")</f>
        <v/>
      </c>
      <c r="U43" s="229">
        <f>+IFERROR(IF(COUNT(L43,T43),ROUND(SUM(L43,T43)/SUM('Shareholding Pattern'!$L$57,'Shareholding Pattern'!$T$57)*100,2),""),"")</f>
        <v>24.98</v>
      </c>
      <c r="V43" s="296"/>
      <c r="W43" s="186"/>
      <c r="X43" s="494"/>
      <c r="Y43" s="495"/>
      <c r="Z43" s="296">
        <v>59410</v>
      </c>
      <c r="AR43" t="s">
        <v>206</v>
      </c>
    </row>
    <row r="44" spans="5:58" ht="43.5" customHeight="1">
      <c r="E44" s="149" t="s">
        <v>77</v>
      </c>
      <c r="F44" s="250" t="s">
        <v>66</v>
      </c>
      <c r="H44" s="296"/>
      <c r="I44" s="296"/>
      <c r="J44" s="296"/>
      <c r="K44" s="296"/>
      <c r="L44" s="226" t="str">
        <f t="shared" ref="L44:L50" si="19">+IFERROR(IF(COUNT(I44:K44),ROUND(SUM(I44:K44),0),""),"")</f>
        <v/>
      </c>
      <c r="M44" s="227" t="str">
        <f>+IFERROR(IF(COUNT(L44),ROUND(L44/'Shareholding Pattern'!$L$57*100,2),""),"")</f>
        <v/>
      </c>
      <c r="N44" s="296"/>
      <c r="O44" s="296"/>
      <c r="P44" s="226" t="str">
        <f t="shared" ref="P44:P48" si="20">+IFERROR(IF(COUNT(N44:O44),ROUND(SUM(N44:O44),0),""),"")</f>
        <v/>
      </c>
      <c r="Q44" s="180" t="str">
        <f>+IFERROR(IF(COUNT(P44),ROUND(P44/'Shareholding Pattern'!$P$58*100,2),""),"")</f>
        <v/>
      </c>
      <c r="R44" s="296"/>
      <c r="S44" s="296"/>
      <c r="T44" s="226" t="str">
        <f t="shared" ref="T44:T50" si="21">+IFERROR(IF(COUNT(R44:S44),ROUND(SUM(R44:S44),0),""),"")</f>
        <v/>
      </c>
      <c r="U44" s="229" t="str">
        <f>+IFERROR(IF(COUNT(L44,T44),ROUND(SUM(L44,T44)/SUM('Shareholding Pattern'!$L$57,'Shareholding Pattern'!$T$57)*100,2),""),"")</f>
        <v/>
      </c>
      <c r="V44" s="296"/>
      <c r="W44" s="186" t="str">
        <f t="shared" ref="W44:W50" si="22">+IFERROR(IF(COUNT(V44),ROUND(SUM(V44)/SUM(L44)*100,2),""),0)</f>
        <v/>
      </c>
      <c r="X44" s="494"/>
      <c r="Y44" s="495"/>
      <c r="Z44" s="296"/>
      <c r="AR44" t="s">
        <v>207</v>
      </c>
    </row>
    <row r="45" spans="5:58" ht="20.100000000000001" customHeight="1">
      <c r="E45" s="149" t="s">
        <v>28</v>
      </c>
      <c r="F45" s="251" t="s">
        <v>67</v>
      </c>
      <c r="H45" s="296"/>
      <c r="I45" s="296"/>
      <c r="J45" s="296"/>
      <c r="K45" s="296"/>
      <c r="L45" s="226" t="str">
        <f t="shared" si="19"/>
        <v/>
      </c>
      <c r="M45" s="227" t="str">
        <f>+IFERROR(IF(COUNT(L45),ROUND(L45/'Shareholding Pattern'!$L$57*100,2),""),"")</f>
        <v/>
      </c>
      <c r="N45" s="296"/>
      <c r="O45" s="296"/>
      <c r="P45" s="226" t="str">
        <f t="shared" si="20"/>
        <v/>
      </c>
      <c r="Q45" s="180" t="str">
        <f>+IFERROR(IF(COUNT(P45),ROUND(P45/'Shareholding Pattern'!$P$58*100,2),""),"")</f>
        <v/>
      </c>
      <c r="R45" s="296"/>
      <c r="S45" s="296"/>
      <c r="T45" s="226" t="str">
        <f t="shared" si="21"/>
        <v/>
      </c>
      <c r="U45" s="229" t="str">
        <f>+IFERROR(IF(COUNT(L45,T45),ROUND(SUM(L45,T45)/SUM('Shareholding Pattern'!$L$57,'Shareholding Pattern'!$T$57)*100,2),""),"")</f>
        <v/>
      </c>
      <c r="V45" s="296"/>
      <c r="W45" s="186" t="str">
        <f t="shared" si="22"/>
        <v/>
      </c>
      <c r="X45" s="494"/>
      <c r="Y45" s="495"/>
      <c r="Z45" s="296"/>
      <c r="AR45" t="s">
        <v>208</v>
      </c>
    </row>
    <row r="46" spans="5:58" ht="20.100000000000001" customHeight="1">
      <c r="E46" s="149" t="s">
        <v>30</v>
      </c>
      <c r="F46" s="251" t="s">
        <v>68</v>
      </c>
      <c r="H46" s="296"/>
      <c r="I46" s="296"/>
      <c r="J46" s="296"/>
      <c r="K46" s="296"/>
      <c r="L46" s="226" t="str">
        <f t="shared" si="19"/>
        <v/>
      </c>
      <c r="M46" s="227" t="str">
        <f>+IFERROR(IF(COUNT(L46),ROUND(L46/'Shareholding Pattern'!$L$57*100,2),""),"")</f>
        <v/>
      </c>
      <c r="N46" s="296"/>
      <c r="O46" s="296"/>
      <c r="P46" s="226" t="str">
        <f t="shared" si="20"/>
        <v/>
      </c>
      <c r="Q46" s="228" t="str">
        <f>+IFERROR(IF(COUNT(P46),ROUND(P46/'Shareholding Pattern'!$P$58*100,2),""),"")</f>
        <v/>
      </c>
      <c r="R46" s="296"/>
      <c r="S46" s="296"/>
      <c r="T46" s="226" t="str">
        <f t="shared" si="21"/>
        <v/>
      </c>
      <c r="U46" s="229" t="str">
        <f>+IFERROR(IF(COUNT(L46,T46),ROUND(SUM(L46,T46)/SUM('Shareholding Pattern'!$L$57,'Shareholding Pattern'!$T$57)*100,2),""),"")</f>
        <v/>
      </c>
      <c r="V46" s="296"/>
      <c r="W46" s="186" t="str">
        <f t="shared" si="22"/>
        <v/>
      </c>
      <c r="X46" s="494"/>
      <c r="Y46" s="495"/>
      <c r="Z46" s="296"/>
      <c r="AR46" t="s">
        <v>209</v>
      </c>
    </row>
    <row r="47" spans="5:58" ht="39" customHeight="1">
      <c r="E47" s="149" t="s">
        <v>32</v>
      </c>
      <c r="F47" s="252" t="s">
        <v>69</v>
      </c>
      <c r="H47" s="296"/>
      <c r="I47" s="296"/>
      <c r="J47" s="296"/>
      <c r="K47" s="296"/>
      <c r="L47" s="226" t="str">
        <f t="shared" si="19"/>
        <v/>
      </c>
      <c r="M47" s="227" t="str">
        <f>+IFERROR(IF(COUNT(L47),ROUND(L47/'Shareholding Pattern'!$L$57*100,2),""),"")</f>
        <v/>
      </c>
      <c r="N47" s="296"/>
      <c r="O47" s="296"/>
      <c r="P47" s="226" t="str">
        <f t="shared" si="20"/>
        <v/>
      </c>
      <c r="Q47" s="228" t="str">
        <f>+IFERROR(IF(COUNT(P47),ROUND(P47/'Shareholding Pattern'!$P$58*100,2),""),"")</f>
        <v/>
      </c>
      <c r="R47" s="296"/>
      <c r="S47" s="296"/>
      <c r="T47" s="226" t="str">
        <f t="shared" si="21"/>
        <v/>
      </c>
      <c r="U47" s="229" t="str">
        <f>+IFERROR(IF(COUNT(L47,T47),ROUND(SUM(L47,T47)/SUM('Shareholding Pattern'!$L$57,'Shareholding Pattern'!$T$57)*100,2),""),"")</f>
        <v/>
      </c>
      <c r="V47" s="296"/>
      <c r="W47" s="186" t="str">
        <f t="shared" si="22"/>
        <v/>
      </c>
      <c r="X47" s="494"/>
      <c r="Y47" s="495"/>
      <c r="Z47" s="296"/>
      <c r="AR47" t="s">
        <v>210</v>
      </c>
    </row>
    <row r="48" spans="5:58" ht="20.100000000000001" customHeight="1">
      <c r="E48" s="167" t="s">
        <v>42</v>
      </c>
      <c r="F48" s="253" t="s">
        <v>33</v>
      </c>
      <c r="H48" s="296">
        <v>1</v>
      </c>
      <c r="I48" s="296">
        <v>50</v>
      </c>
      <c r="J48" s="296"/>
      <c r="K48" s="296"/>
      <c r="L48" s="230">
        <f t="shared" si="19"/>
        <v>50</v>
      </c>
      <c r="M48" s="231">
        <f>+IFERROR(IF(COUNT(L48),ROUND(L48/'Shareholding Pattern'!$L$57*100,2),""),"")</f>
        <v>0.02</v>
      </c>
      <c r="N48" s="296">
        <v>50</v>
      </c>
      <c r="O48" s="296"/>
      <c r="P48" s="230">
        <f t="shared" si="20"/>
        <v>50</v>
      </c>
      <c r="Q48" s="232">
        <f>+IFERROR(IF(COUNT(P48),ROUND(P48/'Shareholding Pattern'!$P$58*100,2),""),"")</f>
        <v>0.02</v>
      </c>
      <c r="R48" s="296"/>
      <c r="S48" s="296"/>
      <c r="T48" s="230" t="str">
        <f t="shared" si="21"/>
        <v/>
      </c>
      <c r="U48" s="233">
        <f>+IFERROR(IF(COUNT(L48,T48),ROUND(SUM(L48,T48)/SUM('Shareholding Pattern'!$L$57,'Shareholding Pattern'!$T$57)*100,2),""),"")</f>
        <v>0.02</v>
      </c>
      <c r="V48" s="296"/>
      <c r="W48" s="234"/>
      <c r="X48" s="494"/>
      <c r="Y48" s="495"/>
      <c r="Z48" s="296">
        <v>0</v>
      </c>
      <c r="AR48" t="s">
        <v>211</v>
      </c>
    </row>
    <row r="49" spans="5:44" ht="20.100000000000001" customHeight="1">
      <c r="E49" s="489" t="s">
        <v>70</v>
      </c>
      <c r="F49" s="489"/>
      <c r="G49" s="489"/>
      <c r="H49" s="194">
        <f>+IFERROR(IF(COUNT(H43:H48),ROUND(SUM(H43:H48),0),""),"")</f>
        <v>11</v>
      </c>
      <c r="I49" s="194">
        <f t="shared" ref="I49:V49" si="23">+IFERROR(IF(COUNT(I43:I48),ROUND(SUM(I43:I48),0),""),"")</f>
        <v>60010</v>
      </c>
      <c r="J49" s="194" t="str">
        <f t="shared" si="23"/>
        <v/>
      </c>
      <c r="K49" s="169" t="str">
        <f t="shared" si="23"/>
        <v/>
      </c>
      <c r="L49" s="193">
        <f t="shared" si="19"/>
        <v>60010</v>
      </c>
      <c r="M49" s="177">
        <f>+IFERROR(IF(COUNT(L49),ROUND(L49/'Shareholding Pattern'!$L$57*100,2),""),"")</f>
        <v>25</v>
      </c>
      <c r="N49" s="170">
        <f t="shared" si="23"/>
        <v>60010</v>
      </c>
      <c r="O49" s="170" t="str">
        <f t="shared" si="23"/>
        <v/>
      </c>
      <c r="P49" s="193">
        <f t="shared" ref="P49" si="24">+IFERROR(IF(COUNT(N49:O49),ROUND(SUM(N49:O49),0),""),"")</f>
        <v>60010</v>
      </c>
      <c r="Q49" s="181">
        <f>+IFERROR(IF(COUNT(P49),ROUND(P49/'Shareholding Pattern'!$P$58*100,2),""),"")</f>
        <v>25</v>
      </c>
      <c r="R49" s="194" t="str">
        <f>+IFERROR(IF(COUNT(R43:R48),ROUND(SUM(R43:R48),0),""),"")</f>
        <v/>
      </c>
      <c r="S49" s="194" t="str">
        <f t="shared" si="23"/>
        <v/>
      </c>
      <c r="T49" s="193" t="str">
        <f t="shared" ref="T49" si="25">+IFERROR(IF(COUNT(R49:S49),ROUND(SUM(R49:S49),0),""),"")</f>
        <v/>
      </c>
      <c r="U49" s="171">
        <f>+IFERROR(IF(COUNT(L49,T49),ROUND(SUM(L49,T49)/SUM('Shareholding Pattern'!$L$57,'Shareholding Pattern'!$T$57)*100,2),""),"")</f>
        <v>25</v>
      </c>
      <c r="V49" s="170" t="str">
        <f t="shared" si="23"/>
        <v/>
      </c>
      <c r="W49" s="187" t="str">
        <f t="shared" si="22"/>
        <v/>
      </c>
      <c r="X49" s="494"/>
      <c r="Y49" s="495"/>
      <c r="Z49" s="194">
        <f t="shared" ref="Z49" si="26">+IFERROR(IF(COUNT(Z43:Z48),ROUND(SUM(Z43:Z48),0),""),"")</f>
        <v>59410</v>
      </c>
      <c r="AR49" t="s">
        <v>212</v>
      </c>
    </row>
    <row r="50" spans="5:44" ht="20.100000000000001" customHeight="1">
      <c r="E50" s="488" t="s">
        <v>106</v>
      </c>
      <c r="F50" s="488"/>
      <c r="G50" s="488"/>
      <c r="H50" s="194">
        <f>+IFERROR(IF(COUNT(H39,H41,H49),ROUND(SUM(H39,H41,H49),0),""),"")</f>
        <v>11</v>
      </c>
      <c r="I50" s="194">
        <f t="shared" ref="I50:V50" si="27">+IFERROR(IF(COUNT(I39,I41,I49),ROUND(SUM(I39,I41,I49),0),""),"")</f>
        <v>60010</v>
      </c>
      <c r="J50" s="194" t="str">
        <f t="shared" si="27"/>
        <v/>
      </c>
      <c r="K50" s="194" t="str">
        <f t="shared" si="27"/>
        <v/>
      </c>
      <c r="L50" s="193">
        <f t="shared" si="19"/>
        <v>60010</v>
      </c>
      <c r="M50" s="177">
        <f>+IFERROR(IF(COUNT(L50),ROUND(L50/'Shareholding Pattern'!$L$57*100,2),""),"")</f>
        <v>25</v>
      </c>
      <c r="N50" s="170">
        <f t="shared" si="27"/>
        <v>60010</v>
      </c>
      <c r="O50" s="170" t="str">
        <f t="shared" si="27"/>
        <v/>
      </c>
      <c r="P50" s="194">
        <f t="shared" si="27"/>
        <v>60010</v>
      </c>
      <c r="Q50" s="181">
        <f>+IFERROR(IF(COUNT(P50),ROUND(P50/'Shareholding Pattern'!$P$58*100,2),""),"")</f>
        <v>25</v>
      </c>
      <c r="R50" s="194" t="str">
        <f>+IFERROR(IF(COUNT(R39,R40,R49),ROUND(SUM(R39,R40,R49),0),""),"")</f>
        <v/>
      </c>
      <c r="S50" s="194" t="str">
        <f>+IFERROR(IF(COUNT(S39,S40,S49),ROUND(SUM(S39,S40,S49),0),""),"")</f>
        <v/>
      </c>
      <c r="T50" s="362" t="str">
        <f t="shared" si="21"/>
        <v/>
      </c>
      <c r="U50" s="171">
        <f>+IFERROR(IF(COUNT(L50,T50),ROUND(SUM(L50,T50)/SUM('Shareholding Pattern'!$L$57,'Shareholding Pattern'!$T$57)*100,2),""),"")</f>
        <v>25</v>
      </c>
      <c r="V50" s="170" t="str">
        <f t="shared" si="27"/>
        <v/>
      </c>
      <c r="W50" s="187" t="str">
        <f t="shared" si="22"/>
        <v/>
      </c>
      <c r="X50" s="496"/>
      <c r="Y50" s="497"/>
      <c r="Z50" s="194">
        <f t="shared" ref="Z50" si="28">+IFERROR(IF(COUNT(Z39,Z41,Z49),ROUND(SUM(Z39,Z41,Z49),0),""),"")</f>
        <v>59410</v>
      </c>
      <c r="AR50" t="s">
        <v>213</v>
      </c>
    </row>
    <row r="51" spans="5:44" ht="34.5" customHeight="1">
      <c r="E51" s="168"/>
      <c r="F51" s="257" t="s">
        <v>428</v>
      </c>
      <c r="G51" s="256"/>
      <c r="H51" s="359"/>
      <c r="I51" s="359"/>
      <c r="J51" s="359"/>
      <c r="K51" s="256"/>
      <c r="L51" s="256"/>
      <c r="M51" s="256"/>
      <c r="N51" s="256"/>
      <c r="O51" s="256"/>
      <c r="P51" s="359"/>
      <c r="Q51" s="256"/>
      <c r="R51" s="359"/>
      <c r="S51" s="359"/>
      <c r="T51" s="359"/>
      <c r="U51" s="256"/>
      <c r="V51" s="256"/>
      <c r="W51" s="256"/>
      <c r="X51" s="256"/>
      <c r="Y51" s="256"/>
      <c r="Z51" s="369"/>
    </row>
    <row r="52" spans="5:44" ht="42" customHeight="1">
      <c r="E52" s="131"/>
      <c r="F52" s="247" t="s">
        <v>429</v>
      </c>
      <c r="M52"/>
      <c r="N52"/>
      <c r="O52"/>
      <c r="Q52"/>
      <c r="U52"/>
      <c r="V52"/>
      <c r="W52"/>
      <c r="X52"/>
      <c r="Y52"/>
      <c r="Z52" s="370"/>
    </row>
    <row r="53" spans="5:44" ht="34.5" customHeight="1">
      <c r="E53" s="118" t="s">
        <v>58</v>
      </c>
      <c r="F53" s="528" t="s">
        <v>59</v>
      </c>
      <c r="G53" s="529"/>
      <c r="H53" s="529"/>
      <c r="I53" s="529"/>
      <c r="J53" s="529"/>
      <c r="K53" s="529"/>
      <c r="L53" s="529"/>
      <c r="M53" s="529"/>
      <c r="N53" s="529"/>
      <c r="O53" s="529"/>
      <c r="P53" s="529"/>
      <c r="Q53" s="529"/>
      <c r="R53" s="529"/>
      <c r="S53" s="529"/>
      <c r="T53" s="529"/>
      <c r="U53" s="529"/>
      <c r="V53" s="529"/>
      <c r="W53" s="529"/>
      <c r="X53" s="529"/>
      <c r="Y53" s="529"/>
      <c r="Z53" s="530"/>
    </row>
    <row r="54" spans="5:44" ht="33" customHeight="1">
      <c r="E54" s="119" t="s">
        <v>78</v>
      </c>
      <c r="F54" s="255" t="s">
        <v>71</v>
      </c>
      <c r="H54" s="296"/>
      <c r="I54" s="296"/>
      <c r="J54" s="296"/>
      <c r="K54" s="296"/>
      <c r="L54" s="226" t="str">
        <f>+IFERROR(IF(COUNT(I54:K54),ROUND(SUM(I54:K54),2),""),"")</f>
        <v/>
      </c>
      <c r="M54" s="178"/>
      <c r="N54" s="296"/>
      <c r="O54" s="296"/>
      <c r="P54" s="226" t="str">
        <f>+IFERROR(IF(COUNT(N54:O54),ROUND(SUM(N54:O54),2),""),"")</f>
        <v/>
      </c>
      <c r="Q54" s="180" t="str">
        <f>+IFERROR(IF(COUNT(P54),ROUND(P54/'Shareholding Pattern'!$P$58*100,2),""),"")</f>
        <v/>
      </c>
      <c r="R54" s="296"/>
      <c r="S54" s="296"/>
      <c r="T54" s="226" t="str">
        <f>+IFERROR(IF(COUNT(R54:S54),ROUND(SUM(R54:S54),2),""),"")</f>
        <v/>
      </c>
      <c r="U54" s="156"/>
      <c r="V54" s="296"/>
      <c r="W54" s="186" t="str">
        <f t="shared" ref="W54:W58" si="29">+IFERROR(IF(COUNT(V54),ROUND(SUM(V54)/SUM(L54)*100,2),""),0)</f>
        <v/>
      </c>
      <c r="X54" s="509"/>
      <c r="Y54" s="510"/>
      <c r="Z54" s="296"/>
      <c r="AR54" t="s">
        <v>214</v>
      </c>
    </row>
    <row r="55" spans="5:44" ht="33.75" customHeight="1">
      <c r="E55" s="119" t="s">
        <v>60</v>
      </c>
      <c r="F55" s="255" t="s">
        <v>72</v>
      </c>
      <c r="H55" s="296"/>
      <c r="I55" s="296"/>
      <c r="J55" s="296"/>
      <c r="K55" s="296"/>
      <c r="L55" s="226" t="str">
        <f>+IFERROR(IF(COUNT(I55:K55),ROUND(SUM(I55:K55),2),""),"")</f>
        <v/>
      </c>
      <c r="M55" s="235" t="str">
        <f>+IFERROR(IF(COUNT(L55),ROUND(L55/'Shareholding Pattern'!$L$57*100,2),""),"")</f>
        <v/>
      </c>
      <c r="N55" s="296"/>
      <c r="O55" s="296"/>
      <c r="P55" s="226" t="str">
        <f>+IFERROR(IF(COUNT(N55:O55),ROUND(SUM(N55:O55),2),""),"")</f>
        <v/>
      </c>
      <c r="Q55" s="180" t="str">
        <f>+IFERROR(IF(COUNT(P55),ROUND(P55/'Shareholding Pattern'!$P$58*100,2),""),"")</f>
        <v/>
      </c>
      <c r="R55" s="296"/>
      <c r="S55" s="296"/>
      <c r="T55" s="226" t="str">
        <f>+IFERROR(IF(COUNT(R55:S55),ROUND(SUM(R55:S55),2),""),"")</f>
        <v/>
      </c>
      <c r="U55" s="150" t="str">
        <f>+IFERROR(IF(COUNT(L55,T55),ROUND(SUM(L55,T55)/SUM('Shareholding Pattern'!$L$57,'Shareholding Pattern'!$T$57)*100,2),""),"")</f>
        <v/>
      </c>
      <c r="V55" s="296"/>
      <c r="W55" s="186" t="str">
        <f t="shared" si="29"/>
        <v/>
      </c>
      <c r="X55" s="511"/>
      <c r="Y55" s="512"/>
      <c r="Z55" s="296"/>
      <c r="AR55" t="s">
        <v>215</v>
      </c>
    </row>
    <row r="56" spans="5:44" ht="31.5" customHeight="1">
      <c r="E56" s="490" t="s">
        <v>73</v>
      </c>
      <c r="F56" s="490"/>
      <c r="G56" s="490"/>
      <c r="H56" s="151" t="str">
        <f>IFERROR(IF(COUNT(H54:H55),ROUND(SUM(H54:H55),0),""),"")</f>
        <v/>
      </c>
      <c r="I56" s="151" t="str">
        <f t="shared" ref="I56:Z56" si="30">IFERROR(IF(COUNT(I54:I55),ROUND(SUM(I54:I55),0),""),"")</f>
        <v/>
      </c>
      <c r="J56" s="151" t="str">
        <f t="shared" si="30"/>
        <v/>
      </c>
      <c r="K56" s="151" t="str">
        <f t="shared" si="30"/>
        <v/>
      </c>
      <c r="L56" s="151" t="str">
        <f t="shared" si="30"/>
        <v/>
      </c>
      <c r="M56" s="178"/>
      <c r="N56" s="152" t="str">
        <f t="shared" si="30"/>
        <v/>
      </c>
      <c r="O56" s="152" t="str">
        <f t="shared" si="30"/>
        <v/>
      </c>
      <c r="P56" s="153" t="str">
        <f t="shared" si="30"/>
        <v/>
      </c>
      <c r="Q56" s="180" t="str">
        <f>+IFERROR(IF(COUNT(P56),ROUND(P56/'Shareholding Pattern'!$P$58*100,2),""),"")</f>
        <v/>
      </c>
      <c r="R56" s="151" t="str">
        <f t="shared" si="30"/>
        <v/>
      </c>
      <c r="S56" s="151" t="str">
        <f t="shared" si="30"/>
        <v/>
      </c>
      <c r="T56" s="151" t="str">
        <f t="shared" si="30"/>
        <v/>
      </c>
      <c r="U56" s="156"/>
      <c r="V56" s="151" t="str">
        <f t="shared" si="30"/>
        <v/>
      </c>
      <c r="W56" s="186" t="str">
        <f t="shared" si="29"/>
        <v/>
      </c>
      <c r="X56" s="511"/>
      <c r="Y56" s="512"/>
      <c r="Z56" s="151" t="str">
        <f t="shared" si="30"/>
        <v/>
      </c>
      <c r="AR56" t="s">
        <v>216</v>
      </c>
    </row>
    <row r="57" spans="5:44" ht="26.25" customHeight="1">
      <c r="E57" s="491" t="s">
        <v>74</v>
      </c>
      <c r="F57" s="491"/>
      <c r="G57" s="491"/>
      <c r="H57" s="151">
        <f t="shared" ref="H57:Z57" si="31">+IFERROR(IF(COUNT(H26,H50,H55),ROUND(SUM(H26,H50,H55),0),""),"")</f>
        <v>19</v>
      </c>
      <c r="I57" s="151">
        <f t="shared" si="31"/>
        <v>240000</v>
      </c>
      <c r="J57" s="151" t="str">
        <f t="shared" si="31"/>
        <v/>
      </c>
      <c r="K57" s="151" t="str">
        <f t="shared" si="31"/>
        <v/>
      </c>
      <c r="L57" s="151">
        <f t="shared" si="31"/>
        <v>240000</v>
      </c>
      <c r="M57" s="179">
        <f>+IFERROR(IF(COUNT(L57),ROUND(L57/'Shareholding Pattern'!$L$57*100,2),""),0)</f>
        <v>100</v>
      </c>
      <c r="N57" s="155">
        <f t="shared" si="31"/>
        <v>240000</v>
      </c>
      <c r="O57" s="155" t="str">
        <f t="shared" si="31"/>
        <v/>
      </c>
      <c r="P57" s="151">
        <f t="shared" si="31"/>
        <v>240000</v>
      </c>
      <c r="Q57" s="180">
        <f>+IFERROR(IF(COUNT(P57),ROUND(P57/'Shareholding Pattern'!$P$58*100,2),""),0)</f>
        <v>100</v>
      </c>
      <c r="R57" s="151" t="str">
        <f t="shared" si="31"/>
        <v/>
      </c>
      <c r="S57" s="151" t="str">
        <f t="shared" si="31"/>
        <v/>
      </c>
      <c r="T57" s="151" t="str">
        <f t="shared" si="31"/>
        <v/>
      </c>
      <c r="U57" s="154">
        <f>+IFERROR(IF(COUNT(L57,T57),ROUND(SUM(L57,T57)/SUM('Shareholding Pattern'!$L$57,'Shareholding Pattern'!$T$57)*100,2),""),0)</f>
        <v>100</v>
      </c>
      <c r="V57" s="151" t="str">
        <f t="shared" si="31"/>
        <v/>
      </c>
      <c r="W57" s="186" t="str">
        <f t="shared" si="29"/>
        <v/>
      </c>
      <c r="X57" s="513"/>
      <c r="Y57" s="514"/>
      <c r="Z57" s="151">
        <f t="shared" si="31"/>
        <v>239400</v>
      </c>
    </row>
    <row r="58" spans="5:44" ht="22.5" customHeight="1">
      <c r="E58" s="491" t="s">
        <v>75</v>
      </c>
      <c r="F58" s="491"/>
      <c r="G58" s="491"/>
      <c r="H58" s="151">
        <f t="shared" ref="H58:Z58" si="32">+IFERROR(IF(COUNT(H26,H50,H56),ROUND(SUM(H26,H50,H56),0),""),"")</f>
        <v>19</v>
      </c>
      <c r="I58" s="151">
        <f t="shared" si="32"/>
        <v>240000</v>
      </c>
      <c r="J58" s="151" t="str">
        <f t="shared" si="32"/>
        <v/>
      </c>
      <c r="K58" s="151" t="str">
        <f t="shared" si="32"/>
        <v/>
      </c>
      <c r="L58" s="151">
        <f t="shared" si="32"/>
        <v>240000</v>
      </c>
      <c r="M58" s="292">
        <f>+IFERROR(IF(COUNT(L57),ROUND(L57/'Shareholding Pattern'!$L$57*100,2),""),"")</f>
        <v>100</v>
      </c>
      <c r="N58" s="155">
        <f t="shared" si="32"/>
        <v>240000</v>
      </c>
      <c r="O58" s="155" t="str">
        <f t="shared" si="32"/>
        <v/>
      </c>
      <c r="P58" s="151">
        <f t="shared" si="32"/>
        <v>240000</v>
      </c>
      <c r="Q58" s="180">
        <f>+IFERROR(IF(COUNT(P58),ROUND(P58/'Shareholding Pattern'!$P$58*100,2),""),"")</f>
        <v>100</v>
      </c>
      <c r="R58" s="151" t="str">
        <f t="shared" si="32"/>
        <v/>
      </c>
      <c r="S58" s="151" t="str">
        <f t="shared" si="32"/>
        <v/>
      </c>
      <c r="T58" s="151" t="str">
        <f t="shared" si="32"/>
        <v/>
      </c>
      <c r="U58" s="293">
        <f t="shared" si="32"/>
        <v>100</v>
      </c>
      <c r="V58" s="151" t="str">
        <f t="shared" si="32"/>
        <v/>
      </c>
      <c r="W58" s="186" t="str">
        <f t="shared" si="29"/>
        <v/>
      </c>
      <c r="X58" s="151" t="str">
        <f t="shared" si="32"/>
        <v/>
      </c>
      <c r="Y58" s="186" t="str">
        <f>+IFERROR(IF(COUNT(X58),ROUND(SUM(X58)/SUM(L58)*100,2),""),0)</f>
        <v/>
      </c>
      <c r="Z58" s="151">
        <f t="shared" si="32"/>
        <v>239400</v>
      </c>
      <c r="AR58" t="s">
        <v>217</v>
      </c>
    </row>
    <row r="59" spans="5:44" ht="35.1" customHeight="1">
      <c r="E59" s="500" t="s">
        <v>183</v>
      </c>
      <c r="F59" s="501"/>
      <c r="G59" s="501"/>
      <c r="H59" s="501"/>
      <c r="I59" s="501"/>
      <c r="J59" s="501"/>
      <c r="K59" s="501"/>
      <c r="L59" s="501"/>
      <c r="M59" s="502"/>
      <c r="N59" s="498"/>
      <c r="O59" s="499"/>
      <c r="P59" s="363"/>
      <c r="Q59" s="264"/>
      <c r="R59" s="360"/>
      <c r="S59" s="360"/>
      <c r="T59" s="360"/>
      <c r="U59" s="264"/>
      <c r="V59" s="264"/>
      <c r="W59" s="264"/>
      <c r="X59" s="486"/>
      <c r="Y59" s="486"/>
      <c r="Z59" s="487"/>
    </row>
    <row r="60" spans="5:44" ht="35.1" customHeight="1">
      <c r="E60" s="500" t="s">
        <v>587</v>
      </c>
      <c r="F60" s="501"/>
      <c r="G60" s="501"/>
      <c r="H60" s="501"/>
      <c r="I60" s="501"/>
      <c r="J60" s="501"/>
      <c r="K60" s="501"/>
      <c r="L60" s="501"/>
      <c r="M60" s="502"/>
      <c r="N60" s="535"/>
      <c r="O60" s="499"/>
      <c r="P60" s="363"/>
      <c r="Q60" s="264"/>
      <c r="R60" s="360"/>
      <c r="S60" s="360"/>
      <c r="T60" s="360"/>
      <c r="U60" s="264"/>
      <c r="V60" s="264"/>
      <c r="W60" s="264"/>
      <c r="X60" s="486"/>
      <c r="Y60" s="486"/>
      <c r="Z60" s="487"/>
    </row>
    <row r="61" spans="5:44" ht="35.1" customHeight="1">
      <c r="E61" s="500" t="s">
        <v>588</v>
      </c>
      <c r="F61" s="501"/>
      <c r="G61" s="501"/>
      <c r="H61" s="501"/>
      <c r="I61" s="501"/>
      <c r="J61" s="501"/>
      <c r="K61" s="501"/>
      <c r="L61" s="501"/>
      <c r="M61" s="502"/>
      <c r="N61" s="535"/>
      <c r="O61" s="499"/>
      <c r="P61" s="363"/>
      <c r="Q61" s="264"/>
      <c r="R61" s="360"/>
      <c r="S61" s="360"/>
      <c r="T61" s="360"/>
      <c r="U61" s="264"/>
      <c r="V61" s="264"/>
      <c r="W61" s="264"/>
      <c r="X61" s="486"/>
      <c r="Y61" s="486"/>
      <c r="Z61" s="487"/>
    </row>
    <row r="62" spans="5:44" ht="35.1" customHeight="1">
      <c r="E62" s="500" t="s">
        <v>589</v>
      </c>
      <c r="F62" s="501"/>
      <c r="G62" s="501"/>
      <c r="H62" s="501"/>
      <c r="I62" s="501"/>
      <c r="J62" s="501"/>
      <c r="K62" s="501"/>
      <c r="L62" s="501"/>
      <c r="M62" s="502"/>
      <c r="N62" s="498"/>
      <c r="O62" s="499"/>
      <c r="P62" s="363"/>
      <c r="Q62" s="264"/>
      <c r="R62" s="360"/>
      <c r="S62" s="360"/>
      <c r="T62" s="360"/>
      <c r="U62" s="264"/>
      <c r="V62" s="264"/>
      <c r="W62" s="264"/>
      <c r="X62" s="486"/>
      <c r="Y62" s="486"/>
      <c r="Z62" s="487"/>
    </row>
    <row r="63" spans="5:44"/>
  </sheetData>
  <sheetProtection password="F884" sheet="1" objects="1" scenarios="1"/>
  <mergeCells count="45">
    <mergeCell ref="X60:Z60"/>
    <mergeCell ref="X61:Z61"/>
    <mergeCell ref="X62:Z62"/>
    <mergeCell ref="E60:M60"/>
    <mergeCell ref="E61:M61"/>
    <mergeCell ref="E62:M62"/>
    <mergeCell ref="N60:O60"/>
    <mergeCell ref="N61:O61"/>
    <mergeCell ref="N62:O62"/>
    <mergeCell ref="J9:J11"/>
    <mergeCell ref="K9:K11"/>
    <mergeCell ref="F12:Y12"/>
    <mergeCell ref="E39:G39"/>
    <mergeCell ref="E26:G26"/>
    <mergeCell ref="E25:G25"/>
    <mergeCell ref="M9:M11"/>
    <mergeCell ref="N9:Q9"/>
    <mergeCell ref="R9:R11"/>
    <mergeCell ref="E9:E11"/>
    <mergeCell ref="L9:L11"/>
    <mergeCell ref="Z9:Z11"/>
    <mergeCell ref="S9:S11"/>
    <mergeCell ref="F29:Z29"/>
    <mergeCell ref="X54:Y57"/>
    <mergeCell ref="I9:I11"/>
    <mergeCell ref="E18:G18"/>
    <mergeCell ref="H9:H11"/>
    <mergeCell ref="F9:G11"/>
    <mergeCell ref="V9:W10"/>
    <mergeCell ref="X9:Y10"/>
    <mergeCell ref="N10:P10"/>
    <mergeCell ref="Q10:Q11"/>
    <mergeCell ref="U9:U11"/>
    <mergeCell ref="T9:T11"/>
    <mergeCell ref="E57:G57"/>
    <mergeCell ref="F53:Z53"/>
    <mergeCell ref="X59:Z59"/>
    <mergeCell ref="E50:G50"/>
    <mergeCell ref="E41:G41"/>
    <mergeCell ref="E56:G56"/>
    <mergeCell ref="E49:G49"/>
    <mergeCell ref="E58:G58"/>
    <mergeCell ref="X30:Y50"/>
    <mergeCell ref="N59:O59"/>
    <mergeCell ref="E59:M59"/>
  </mergeCells>
  <dataValidations count="13">
    <dataValidation type="whole" operator="lessThanOrEqual" allowBlank="1" showInputMessage="1" showErrorMessage="1" sqref="V55">
      <formula1>I55</formula1>
    </dataValidation>
    <dataValidation type="whole" operator="lessThanOrEqual" allowBlank="1" showInputMessage="1" showErrorMessage="1" sqref="Z47">
      <formula1>L47</formula1>
    </dataValidation>
    <dataValidation type="whole" operator="lessThanOrEqual" allowBlank="1" showInputMessage="1" showErrorMessage="1" sqref="Z48">
      <formula1>L48</formula1>
    </dataValidation>
    <dataValidation type="whole" operator="greaterThanOrEqual" allowBlank="1" showInputMessage="1" showErrorMessage="1" sqref="R30:S38 N30:O38 N40:O40 N43:O48 R40:S40 R43:S48 N54:O55 R54:S55 I30:K38 I40:K40 I43:K48">
      <formula1>0</formula1>
    </dataValidation>
    <dataValidation type="whole" operator="greaterThan" allowBlank="1" showInputMessage="1" showErrorMessage="1" sqref="H30:H38 H40 H54:H55 H43:H48">
      <formula1>0</formula1>
    </dataValidation>
    <dataValidation operator="greaterThan" allowBlank="1" showInputMessage="1" showErrorMessage="1" sqref="H20:H24 H14:H17"/>
    <dataValidation type="whole" operator="lessThanOrEqual" allowBlank="1" showInputMessage="1" showErrorMessage="1" sqref="Z43:Z46">
      <formula1>L43</formula1>
    </dataValidation>
    <dataValidation type="whole" operator="lessThanOrEqual" allowBlank="1" showInputMessage="1" showErrorMessage="1" sqref="Z38 Z40">
      <formula1>L38</formula1>
    </dataValidation>
    <dataValidation type="whole" operator="lessThanOrEqual" allowBlank="1" showInputMessage="1" showErrorMessage="1" sqref="V54">
      <formula1>I54</formula1>
    </dataValidation>
    <dataValidation type="whole" operator="greaterThanOrEqual" allowBlank="1" showInputMessage="1" showErrorMessage="1" sqref="I54:K55">
      <formula1>0</formula1>
    </dataValidation>
    <dataValidation type="whole" operator="lessThanOrEqual" allowBlank="1" showInputMessage="1" showErrorMessage="1" sqref="V40 V43:V48">
      <formula1>I40</formula1>
    </dataValidation>
    <dataValidation type="whole" operator="lessThanOrEqual" allowBlank="1" showInputMessage="1" showErrorMessage="1" sqref="Z54:Z55 Z30:Z37">
      <formula1>L30</formula1>
    </dataValidation>
    <dataValidation type="whole" operator="lessThanOrEqual" allowBlank="1" showInputMessage="1" showErrorMessage="1" sqref="V30:V38">
      <formula1>I30</formula1>
    </dataValidation>
  </dataValidations>
  <hyperlinks>
    <hyperlink ref="F14" location="IndHUF!F12" display="Individuals/Hindu undivided Family"/>
    <hyperlink ref="F15" location="CGAndSG!F12" display="Central  Government/ State Government(s)"/>
    <hyperlink ref="F16" location="Banks!F12" display="Financial  Institutions/ Banks"/>
    <hyperlink ref="F17" location="IndHUF!F12" display="Any Other (specify)"/>
    <hyperlink ref="F20" location="Individuals!F12" display="Individuals (NonResident Individuals/ Foreign Individuals)"/>
    <hyperlink ref="F21" location="Government!F12" display="Government"/>
    <hyperlink ref="F22" location="Institutions!F12" display="Institutions"/>
    <hyperlink ref="F23" location="FPIPromoter!F12" display="Foreign Portfolio Investor"/>
    <hyperlink ref="F24" location="OtherForeign!F12" display="Any Other (specify)"/>
    <hyperlink ref="F30" location="MutuaFund!F12" display="Mutual Funds"/>
    <hyperlink ref="F31" location="VentureCap!F12" display="Venture Capital Funds"/>
    <hyperlink ref="F32" location="AIF!F12" display="Alternate Investment Funds"/>
    <hyperlink ref="F33" location="FVC!F12" display="Foreign Venture Capital Investors"/>
    <hyperlink ref="F34" location="FPI_Insti!F12" display="Foreign Portfolio Investors"/>
    <hyperlink ref="F35" location="Bank_Insti!F12" display="Financial  Institutions/ Banks"/>
    <hyperlink ref="F36" location="Insurance!F12" display="Insurance  Companies"/>
    <hyperlink ref="F37" location="Pension!F12" display="Provident Funds/ Pension Funds"/>
    <hyperlink ref="F38" location="Other_Insti!F12" display="Any Other (specify)"/>
    <hyperlink ref="F40" location="'CG&amp;SG&amp;PI'!F12" display="Central  Government/  State  Government(s)/ President of India"/>
    <hyperlink ref="F43" location="'Indivisual(aI)'!F12" display="'Indivisual(aI)'!F12"/>
    <hyperlink ref="F44" location="'Indivisual(aII)'!F12" display="'Indivisual(aII)'!F12"/>
    <hyperlink ref="F45" location="NBFC!F12" display="NBFCs registered with RBI"/>
    <hyperlink ref="F46" location="EmpTrust!F12" display="Employee Trusts"/>
    <hyperlink ref="F47" location="OD!F12" display="Overseas Depositories (holding DRs) (balancing figure)"/>
    <hyperlink ref="F48" location="Other_NonInsti!F12" display="Any Other (specify)"/>
    <hyperlink ref="F54" location="DRHolder!F12" display="Custodian/DR  Holder - Name of DR Holders  (If Available)"/>
    <hyperlink ref="F55" location="EBT!F12" display="Employee Benefit Trust (under SEBI (Share based Employee Benefit) Regulations, 2014)"/>
    <hyperlink ref="F51" location="PAC_Public!F12" display="Details of the shareholders acting as persons in Concert for Public"/>
    <hyperlink ref="F52" location="Unclaimed_Public!A1" display="Details of Shares which remain unclaimed for Public"/>
    <hyperlink ref="F27" location="Unclaimed_Prom!I14" display="Details of Shares which remain unclaimed for Promoter &amp; Promoter Group"/>
  </hyperlinks>
  <pageMargins left="0.7" right="0.7" top="0.75" bottom="0.75" header="0.3" footer="0.3"/>
  <pageSetup orientation="portrait" r:id="rId1"/>
  <ignoredErrors>
    <ignoredError sqref="P30 T30 L30:L37 L40 L43:L48" formulaRange="1"/>
  </ignoredErrors>
  <drawing r:id="rId2"/>
</worksheet>
</file>

<file path=xl/worksheets/sheet7.xml><?xml version="1.0" encoding="utf-8"?>
<worksheet xmlns="http://schemas.openxmlformats.org/spreadsheetml/2006/main" xmlns:r="http://schemas.openxmlformats.org/officeDocument/2006/relationships">
  <sheetPr codeName="Sheet2">
    <tabColor theme="7"/>
  </sheetPr>
  <dimension ref="A1:XFC22"/>
  <sheetViews>
    <sheetView showGridLines="0" topLeftCell="D10" zoomScale="85" zoomScaleNormal="85" workbookViewId="0">
      <selection activeCell="G25" sqref="G25"/>
    </sheetView>
  </sheetViews>
  <sheetFormatPr defaultColWidth="0" defaultRowHeight="15"/>
  <cols>
    <col min="1" max="1" width="2.42578125" hidden="1" customWidth="1"/>
    <col min="2" max="2" width="2.140625" hidden="1" customWidth="1"/>
    <col min="3" max="3" width="2" hidden="1" customWidth="1"/>
    <col min="4" max="4" width="2.5703125"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6.7109375" customWidth="1"/>
    <col min="14" max="14" width="16.140625" hidden="1" customWidth="1"/>
    <col min="15" max="15" width="16.42578125" customWidth="1"/>
    <col min="16" max="16" width="10.7109375" customWidth="1"/>
    <col min="17" max="18" width="14.5703125" hidden="1" customWidth="1"/>
    <col min="19" max="19" width="14.5703125" customWidth="1"/>
    <col min="20" max="20" width="19.140625" customWidth="1"/>
    <col min="21" max="21" width="15.42578125" hidden="1" customWidth="1"/>
    <col min="22" max="22" width="8.85546875" hidden="1" customWidth="1"/>
    <col min="23" max="23" width="15.42578125" hidden="1" customWidth="1"/>
    <col min="24" max="24" width="8.85546875" hidden="1" customWidth="1"/>
    <col min="25" max="25" width="15.42578125" customWidth="1"/>
    <col min="26" max="26" width="18" customWidth="1"/>
    <col min="27" max="27" width="17.140625" customWidth="1"/>
    <col min="28" max="28" width="4.7109375" customWidth="1"/>
    <col min="29" max="16383" width="4.85546875" hidden="1"/>
  </cols>
  <sheetData>
    <row r="1" spans="5:45" hidden="1">
      <c r="I1">
        <v>6</v>
      </c>
    </row>
    <row r="2" spans="5:45" ht="18.75" hidden="1" customHeight="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t="24" hidden="1" customHeight="1"/>
    <row r="4" spans="5:45" ht="20.25" hidden="1" customHeight="1"/>
    <row r="5" spans="5:45" ht="16.5" hidden="1" customHeight="1"/>
    <row r="6" spans="5:45" ht="27" hidden="1" customHeight="1"/>
    <row r="9" spans="5:45" ht="29.25" customHeight="1">
      <c r="E9" s="480" t="s">
        <v>137</v>
      </c>
      <c r="F9" s="480" t="s">
        <v>136</v>
      </c>
      <c r="G9" s="538" t="s">
        <v>1</v>
      </c>
      <c r="H9" s="538" t="s">
        <v>3</v>
      </c>
      <c r="I9" s="538" t="s">
        <v>4</v>
      </c>
      <c r="J9" s="538" t="s">
        <v>5</v>
      </c>
      <c r="K9" s="538" t="s">
        <v>6</v>
      </c>
      <c r="L9" s="538" t="s">
        <v>7</v>
      </c>
      <c r="M9" s="539" t="s">
        <v>8</v>
      </c>
      <c r="N9" s="540"/>
      <c r="O9" s="540"/>
      <c r="P9" s="541"/>
      <c r="Q9" s="538" t="s">
        <v>9</v>
      </c>
      <c r="R9" s="538" t="s">
        <v>505</v>
      </c>
      <c r="S9" s="538" t="s">
        <v>134</v>
      </c>
      <c r="T9" s="480" t="s">
        <v>143</v>
      </c>
      <c r="U9" s="515" t="s">
        <v>12</v>
      </c>
      <c r="V9" s="516"/>
      <c r="W9" s="515" t="s">
        <v>13</v>
      </c>
      <c r="X9" s="516"/>
      <c r="Y9" s="538" t="s">
        <v>14</v>
      </c>
      <c r="Z9" s="473" t="s">
        <v>499</v>
      </c>
      <c r="AA9" s="538" t="s">
        <v>517</v>
      </c>
    </row>
    <row r="10" spans="5:45" ht="31.5" customHeight="1">
      <c r="E10" s="536"/>
      <c r="F10" s="533"/>
      <c r="G10" s="536"/>
      <c r="H10" s="536"/>
      <c r="I10" s="536"/>
      <c r="J10" s="536"/>
      <c r="K10" s="536"/>
      <c r="L10" s="536"/>
      <c r="M10" s="471" t="s">
        <v>135</v>
      </c>
      <c r="N10" s="523"/>
      <c r="O10" s="524"/>
      <c r="P10" s="538" t="s">
        <v>16</v>
      </c>
      <c r="Q10" s="536"/>
      <c r="R10" s="536"/>
      <c r="S10" s="536"/>
      <c r="T10" s="536"/>
      <c r="U10" s="519"/>
      <c r="V10" s="520"/>
      <c r="W10" s="519"/>
      <c r="X10" s="520"/>
      <c r="Y10" s="536"/>
      <c r="Z10" s="521"/>
      <c r="AA10" s="536"/>
    </row>
    <row r="11" spans="5:45" ht="78.75" customHeight="1">
      <c r="E11" s="537"/>
      <c r="F11" s="534"/>
      <c r="G11" s="537"/>
      <c r="H11" s="537"/>
      <c r="I11" s="537"/>
      <c r="J11" s="537"/>
      <c r="K11" s="537"/>
      <c r="L11" s="537"/>
      <c r="M11" s="33" t="s">
        <v>141</v>
      </c>
      <c r="N11" s="33" t="s">
        <v>18</v>
      </c>
      <c r="O11" s="32" t="s">
        <v>19</v>
      </c>
      <c r="P11" s="537"/>
      <c r="Q11" s="537"/>
      <c r="R11" s="537"/>
      <c r="S11" s="537"/>
      <c r="T11" s="537"/>
      <c r="U11" s="32" t="s">
        <v>20</v>
      </c>
      <c r="V11" s="32" t="s">
        <v>21</v>
      </c>
      <c r="W11" s="32" t="s">
        <v>20</v>
      </c>
      <c r="X11" s="32" t="s">
        <v>21</v>
      </c>
      <c r="Y11" s="537"/>
      <c r="Z11" s="521"/>
      <c r="AA11" s="537"/>
    </row>
    <row r="12" spans="5:45" ht="16.5" customHeight="1">
      <c r="E12" s="9" t="s">
        <v>79</v>
      </c>
      <c r="F12" s="379" t="s">
        <v>27</v>
      </c>
      <c r="G12" s="30"/>
      <c r="H12" s="30"/>
      <c r="I12" s="30"/>
      <c r="J12" s="30"/>
      <c r="K12" s="30"/>
      <c r="L12" s="30"/>
      <c r="M12" s="30"/>
      <c r="N12" s="30"/>
      <c r="O12" s="30"/>
      <c r="P12" s="30"/>
      <c r="Q12" s="30"/>
      <c r="R12" s="30"/>
      <c r="S12" s="30"/>
      <c r="T12" s="30"/>
      <c r="U12" s="30"/>
      <c r="V12" s="30"/>
      <c r="W12" s="30"/>
      <c r="X12" s="30"/>
      <c r="Y12" s="30"/>
      <c r="Z12" s="30"/>
      <c r="AA12" s="31"/>
    </row>
    <row r="13" spans="5:45" s="11" customFormat="1" ht="19.5" hidden="1" customHeight="1">
      <c r="E13" s="195"/>
      <c r="F13" s="261"/>
      <c r="G13" s="10"/>
      <c r="H13" s="16"/>
      <c r="I13" s="47"/>
      <c r="J13" s="47"/>
      <c r="K13" s="46" t="str">
        <f>+IFERROR(IF(COUNT(H13:J13),ROUND(SUM(H13:J13),0),""),"")</f>
        <v/>
      </c>
      <c r="L13" s="17" t="str">
        <f>+IFERROR(IF(COUNT(K13),ROUND(K13/'Shareholding Pattern'!$L$57*100,2),""),0)</f>
        <v/>
      </c>
      <c r="M13" s="277" t="str">
        <f>IF(H13="","",H13)</f>
        <v/>
      </c>
      <c r="N13" s="207"/>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2"/>
      <c r="AA13" s="333"/>
      <c r="AC13" s="11">
        <f>IF(SUM(H13:Y13)&gt;0,1,0)</f>
        <v>0</v>
      </c>
      <c r="AD13" s="11">
        <f>IF(COUNT(H21:$Y$15006)=0,"",SUM(AC1:AC65538))</f>
        <v>6</v>
      </c>
    </row>
    <row r="14" spans="5:45" ht="24.75" customHeight="1">
      <c r="E14" s="92"/>
      <c r="F14" s="93"/>
      <c r="G14" s="93"/>
      <c r="H14" s="93"/>
      <c r="I14" s="93"/>
      <c r="J14" s="93"/>
      <c r="K14" s="93"/>
      <c r="L14" s="93"/>
      <c r="M14" s="93"/>
      <c r="N14" s="93"/>
      <c r="O14" s="93"/>
      <c r="P14" s="93"/>
      <c r="Q14" s="93"/>
      <c r="R14" s="93"/>
      <c r="S14" s="93"/>
      <c r="T14" s="93"/>
      <c r="U14" s="93"/>
      <c r="V14" s="93"/>
      <c r="W14" s="93"/>
      <c r="X14" s="93"/>
      <c r="Y14" s="93"/>
      <c r="Z14" s="93"/>
      <c r="AA14" s="94"/>
    </row>
    <row r="15" spans="5:45" ht="24.75" customHeight="1">
      <c r="E15" s="195">
        <v>1</v>
      </c>
      <c r="F15" s="410" t="s">
        <v>707</v>
      </c>
      <c r="G15" s="405" t="s">
        <v>708</v>
      </c>
      <c r="H15" s="47">
        <v>14550</v>
      </c>
      <c r="I15" s="47"/>
      <c r="J15" s="47"/>
      <c r="K15" s="403">
        <f t="shared" ref="K15:K20" si="0">+IFERROR(IF(COUNT(H15:J15),ROUND(SUM(H15:J15),0),""),"")</f>
        <v>14550</v>
      </c>
      <c r="L15" s="51">
        <f>+IFERROR(IF(COUNT(K15),ROUND(K15/'Shareholding Pattern'!$L$57*100,2),""),0)</f>
        <v>6.06</v>
      </c>
      <c r="M15" s="207">
        <v>14550</v>
      </c>
      <c r="N15" s="207"/>
      <c r="O15" s="285">
        <f t="shared" ref="O15:O20" si="1">+IFERROR(IF(COUNT(M15:N15),ROUND(SUM(M15,N15),2),""),"")</f>
        <v>14550</v>
      </c>
      <c r="P15" s="51">
        <f>+IFERROR(IF(COUNT(O15),ROUND(O15/('Shareholding Pattern'!$P$58)*100,2),""),0)</f>
        <v>6.06</v>
      </c>
      <c r="Q15" s="47"/>
      <c r="R15" s="47"/>
      <c r="S15" s="403" t="str">
        <f t="shared" ref="S15:S20" si="2">+IFERROR(IF(COUNT(Q15:R15),ROUND(SUM(Q15:R15),0),""),"")</f>
        <v/>
      </c>
      <c r="T15" s="17">
        <f>+IFERROR(IF(COUNT(K15,S15),ROUND(SUM(S15,K15)/SUM('Shareholding Pattern'!$L$57,'Shareholding Pattern'!$T$57)*100,2),""),0)</f>
        <v>6.06</v>
      </c>
      <c r="U15" s="47"/>
      <c r="V15" s="17" t="str">
        <f t="shared" ref="V15:V20" si="3">+IFERROR(IF(COUNT(U15),ROUND(SUM(U15)/SUM(K15)*100,2),""),0)</f>
        <v/>
      </c>
      <c r="W15" s="47"/>
      <c r="X15" s="17" t="str">
        <f t="shared" ref="X15:X20" si="4">+IFERROR(IF(COUNT(W15),ROUND(SUM(W15)/SUM(K15)*100,2),""),0)</f>
        <v/>
      </c>
      <c r="Y15" s="47">
        <v>14550</v>
      </c>
      <c r="Z15" s="284"/>
      <c r="AA15" s="334" t="s">
        <v>519</v>
      </c>
      <c r="AB15" s="11"/>
      <c r="AC15" s="11">
        <f t="shared" ref="AC15:AC20" si="5">IF(SUM(H15:Y15)&gt;0,1,0)</f>
        <v>1</v>
      </c>
    </row>
    <row r="16" spans="5:45" ht="24.75" customHeight="1">
      <c r="E16" s="195">
        <v>2</v>
      </c>
      <c r="F16" s="410" t="s">
        <v>709</v>
      </c>
      <c r="G16" s="405" t="s">
        <v>710</v>
      </c>
      <c r="H16" s="47">
        <v>17800</v>
      </c>
      <c r="I16" s="47"/>
      <c r="J16" s="47"/>
      <c r="K16" s="403">
        <f t="shared" si="0"/>
        <v>17800</v>
      </c>
      <c r="L16" s="51">
        <f>+IFERROR(IF(COUNT(K16),ROUND(K16/'Shareholding Pattern'!$L$57*100,2),""),0)</f>
        <v>7.42</v>
      </c>
      <c r="M16" s="207">
        <v>17800</v>
      </c>
      <c r="N16" s="207"/>
      <c r="O16" s="285">
        <f t="shared" si="1"/>
        <v>17800</v>
      </c>
      <c r="P16" s="51">
        <f>+IFERROR(IF(COUNT(O16),ROUND(O16/('Shareholding Pattern'!$P$58)*100,2),""),0)</f>
        <v>7.42</v>
      </c>
      <c r="Q16" s="47"/>
      <c r="R16" s="47"/>
      <c r="S16" s="403" t="str">
        <f t="shared" si="2"/>
        <v/>
      </c>
      <c r="T16" s="17">
        <f>+IFERROR(IF(COUNT(K16,S16),ROUND(SUM(S16,K16)/SUM('Shareholding Pattern'!$L$57,'Shareholding Pattern'!$T$57)*100,2),""),0)</f>
        <v>7.42</v>
      </c>
      <c r="U16" s="47"/>
      <c r="V16" s="17" t="str">
        <f t="shared" si="3"/>
        <v/>
      </c>
      <c r="W16" s="47"/>
      <c r="X16" s="17" t="str">
        <f t="shared" si="4"/>
        <v/>
      </c>
      <c r="Y16" s="47">
        <v>17800</v>
      </c>
      <c r="Z16" s="284"/>
      <c r="AA16" s="334" t="s">
        <v>520</v>
      </c>
      <c r="AB16" s="11"/>
      <c r="AC16" s="11">
        <f t="shared" si="5"/>
        <v>1</v>
      </c>
    </row>
    <row r="17" spans="5:29" ht="24.75" customHeight="1">
      <c r="E17" s="195">
        <v>3</v>
      </c>
      <c r="F17" s="410" t="s">
        <v>711</v>
      </c>
      <c r="G17" s="405" t="s">
        <v>712</v>
      </c>
      <c r="H17" s="47">
        <v>20000</v>
      </c>
      <c r="I17" s="47"/>
      <c r="J17" s="47"/>
      <c r="K17" s="403">
        <f t="shared" si="0"/>
        <v>20000</v>
      </c>
      <c r="L17" s="51">
        <f>+IFERROR(IF(COUNT(K17),ROUND(K17/'Shareholding Pattern'!$L$57*100,2),""),0)</f>
        <v>8.33</v>
      </c>
      <c r="M17" s="207">
        <v>20000</v>
      </c>
      <c r="N17" s="207"/>
      <c r="O17" s="285">
        <f t="shared" si="1"/>
        <v>20000</v>
      </c>
      <c r="P17" s="51">
        <f>+IFERROR(IF(COUNT(O17),ROUND(O17/('Shareholding Pattern'!$P$58)*100,2),""),0)</f>
        <v>8.33</v>
      </c>
      <c r="Q17" s="47"/>
      <c r="R17" s="47"/>
      <c r="S17" s="403" t="str">
        <f t="shared" si="2"/>
        <v/>
      </c>
      <c r="T17" s="17">
        <f>+IFERROR(IF(COUNT(K17,S17),ROUND(SUM(S17,K17)/SUM('Shareholding Pattern'!$L$57,'Shareholding Pattern'!$T$57)*100,2),""),0)</f>
        <v>8.33</v>
      </c>
      <c r="U17" s="47"/>
      <c r="V17" s="17" t="str">
        <f t="shared" si="3"/>
        <v/>
      </c>
      <c r="W17" s="47"/>
      <c r="X17" s="17" t="str">
        <f t="shared" si="4"/>
        <v/>
      </c>
      <c r="Y17" s="47">
        <v>20000</v>
      </c>
      <c r="Z17" s="284"/>
      <c r="AA17" s="334" t="s">
        <v>520</v>
      </c>
      <c r="AB17" s="11"/>
      <c r="AC17" s="11">
        <f t="shared" si="5"/>
        <v>1</v>
      </c>
    </row>
    <row r="18" spans="5:29" ht="24.75" customHeight="1">
      <c r="E18" s="195">
        <v>4</v>
      </c>
      <c r="F18" s="410" t="s">
        <v>713</v>
      </c>
      <c r="G18" s="405" t="s">
        <v>714</v>
      </c>
      <c r="H18" s="47">
        <v>30980</v>
      </c>
      <c r="I18" s="47"/>
      <c r="J18" s="47"/>
      <c r="K18" s="403">
        <f t="shared" si="0"/>
        <v>30980</v>
      </c>
      <c r="L18" s="51">
        <f>+IFERROR(IF(COUNT(K18),ROUND(K18/'Shareholding Pattern'!$L$57*100,2),""),0)</f>
        <v>12.91</v>
      </c>
      <c r="M18" s="207">
        <v>30980</v>
      </c>
      <c r="N18" s="207"/>
      <c r="O18" s="285">
        <f t="shared" si="1"/>
        <v>30980</v>
      </c>
      <c r="P18" s="51">
        <f>+IFERROR(IF(COUNT(O18),ROUND(O18/('Shareholding Pattern'!$P$58)*100,2),""),0)</f>
        <v>12.91</v>
      </c>
      <c r="Q18" s="47"/>
      <c r="R18" s="47"/>
      <c r="S18" s="403" t="str">
        <f t="shared" si="2"/>
        <v/>
      </c>
      <c r="T18" s="17">
        <f>+IFERROR(IF(COUNT(K18,S18),ROUND(SUM(S18,K18)/SUM('Shareholding Pattern'!$L$57,'Shareholding Pattern'!$T$57)*100,2),""),0)</f>
        <v>12.91</v>
      </c>
      <c r="U18" s="47"/>
      <c r="V18" s="17" t="str">
        <f t="shared" si="3"/>
        <v/>
      </c>
      <c r="W18" s="47"/>
      <c r="X18" s="17" t="str">
        <f t="shared" si="4"/>
        <v/>
      </c>
      <c r="Y18" s="47">
        <v>30980</v>
      </c>
      <c r="Z18" s="284"/>
      <c r="AA18" s="334" t="s">
        <v>519</v>
      </c>
      <c r="AB18" s="11"/>
      <c r="AC18" s="11">
        <f t="shared" si="5"/>
        <v>1</v>
      </c>
    </row>
    <row r="19" spans="5:29" ht="24.75" customHeight="1">
      <c r="E19" s="195">
        <v>5</v>
      </c>
      <c r="F19" s="410" t="s">
        <v>715</v>
      </c>
      <c r="G19" s="405" t="s">
        <v>716</v>
      </c>
      <c r="H19" s="47">
        <v>35400</v>
      </c>
      <c r="I19" s="47"/>
      <c r="J19" s="47"/>
      <c r="K19" s="403">
        <f t="shared" si="0"/>
        <v>35400</v>
      </c>
      <c r="L19" s="51">
        <f>+IFERROR(IF(COUNT(K19),ROUND(K19/'Shareholding Pattern'!$L$57*100,2),""),0)</f>
        <v>14.75</v>
      </c>
      <c r="M19" s="207">
        <v>35400</v>
      </c>
      <c r="N19" s="207"/>
      <c r="O19" s="285">
        <f t="shared" si="1"/>
        <v>35400</v>
      </c>
      <c r="P19" s="51">
        <f>+IFERROR(IF(COUNT(O19),ROUND(O19/('Shareholding Pattern'!$P$58)*100,2),""),0)</f>
        <v>14.75</v>
      </c>
      <c r="Q19" s="47"/>
      <c r="R19" s="47"/>
      <c r="S19" s="403" t="str">
        <f t="shared" si="2"/>
        <v/>
      </c>
      <c r="T19" s="17">
        <f>+IFERROR(IF(COUNT(K19,S19),ROUND(SUM(S19,K19)/SUM('Shareholding Pattern'!$L$57,'Shareholding Pattern'!$T$57)*100,2),""),0)</f>
        <v>14.75</v>
      </c>
      <c r="U19" s="47"/>
      <c r="V19" s="17" t="str">
        <f t="shared" si="3"/>
        <v/>
      </c>
      <c r="W19" s="47"/>
      <c r="X19" s="17" t="str">
        <f t="shared" si="4"/>
        <v/>
      </c>
      <c r="Y19" s="47">
        <v>35400</v>
      </c>
      <c r="Z19" s="284"/>
      <c r="AA19" s="334" t="s">
        <v>519</v>
      </c>
      <c r="AB19" s="11"/>
      <c r="AC19" s="11">
        <f t="shared" si="5"/>
        <v>1</v>
      </c>
    </row>
    <row r="20" spans="5:29" ht="24.75" customHeight="1">
      <c r="E20" s="195">
        <v>6</v>
      </c>
      <c r="F20" s="410" t="s">
        <v>717</v>
      </c>
      <c r="G20" s="405" t="s">
        <v>718</v>
      </c>
      <c r="H20" s="47">
        <v>38260</v>
      </c>
      <c r="I20" s="47"/>
      <c r="J20" s="47"/>
      <c r="K20" s="403">
        <f t="shared" si="0"/>
        <v>38260</v>
      </c>
      <c r="L20" s="51">
        <f>+IFERROR(IF(COUNT(K20),ROUND(K20/'Shareholding Pattern'!$L$57*100,2),""),0)</f>
        <v>15.94</v>
      </c>
      <c r="M20" s="207">
        <v>38260</v>
      </c>
      <c r="N20" s="207"/>
      <c r="O20" s="285">
        <f t="shared" si="1"/>
        <v>38260</v>
      </c>
      <c r="P20" s="51">
        <f>+IFERROR(IF(COUNT(O20),ROUND(O20/('Shareholding Pattern'!$P$58)*100,2),""),0)</f>
        <v>15.94</v>
      </c>
      <c r="Q20" s="47"/>
      <c r="R20" s="47"/>
      <c r="S20" s="403" t="str">
        <f t="shared" si="2"/>
        <v/>
      </c>
      <c r="T20" s="17">
        <f>+IFERROR(IF(COUNT(K20,S20),ROUND(SUM(S20,K20)/SUM('Shareholding Pattern'!$L$57,'Shareholding Pattern'!$T$57)*100,2),""),0)</f>
        <v>15.94</v>
      </c>
      <c r="U20" s="47"/>
      <c r="V20" s="17" t="str">
        <f t="shared" si="3"/>
        <v/>
      </c>
      <c r="W20" s="47"/>
      <c r="X20" s="17" t="str">
        <f t="shared" si="4"/>
        <v/>
      </c>
      <c r="Y20" s="47">
        <v>38260</v>
      </c>
      <c r="Z20" s="284"/>
      <c r="AA20" s="334" t="s">
        <v>519</v>
      </c>
      <c r="AB20" s="11"/>
      <c r="AC20" s="11">
        <f t="shared" si="5"/>
        <v>1</v>
      </c>
    </row>
    <row r="21" spans="5:29" ht="16.5" hidden="1" customHeight="1">
      <c r="E21" s="196"/>
      <c r="F21" s="200"/>
      <c r="G21" s="200"/>
      <c r="H21" s="200"/>
      <c r="I21" s="200"/>
      <c r="J21" s="200"/>
      <c r="K21" s="200"/>
      <c r="L21" s="200"/>
      <c r="M21" s="200"/>
      <c r="N21" s="200"/>
      <c r="O21" s="200"/>
      <c r="P21" s="200"/>
      <c r="Q21" s="200"/>
      <c r="R21" s="200"/>
      <c r="S21" s="200"/>
      <c r="T21" s="200"/>
      <c r="U21" s="200"/>
      <c r="V21" s="200"/>
      <c r="W21" s="200"/>
      <c r="X21" s="200"/>
      <c r="Y21" s="201"/>
    </row>
    <row r="22" spans="5:29" ht="20.100000000000001" customHeight="1">
      <c r="E22" s="127"/>
      <c r="F22" s="62" t="s">
        <v>450</v>
      </c>
      <c r="G22" s="62" t="s">
        <v>19</v>
      </c>
      <c r="H22" s="53">
        <f>+IFERROR(IF(COUNT(H14:H21),ROUND(SUM(H14:H21),0),""),"")</f>
        <v>156990</v>
      </c>
      <c r="I22" s="53" t="str">
        <f>+IFERROR(IF(COUNT(I14:I21),ROUND(SUM(I14:I21),0),""),"")</f>
        <v/>
      </c>
      <c r="J22" s="53" t="str">
        <f>+IFERROR(IF(COUNT(J14:J21),ROUND(SUM(J14:J21),0),""),"")</f>
        <v/>
      </c>
      <c r="K22" s="53">
        <f>+IFERROR(IF(COUNT(K14:K21),ROUND(SUM(K14:K21),0),""),"")</f>
        <v>156990</v>
      </c>
      <c r="L22" s="17">
        <f>+IFERROR(IF(COUNT(K22),ROUND(K22/'Shareholding Pattern'!$L$57*100,2),""),0)</f>
        <v>65.41</v>
      </c>
      <c r="M22" s="35">
        <f>+IFERROR(IF(COUNT(M14:M21),ROUND(SUM(M14:M21),0),""),"")</f>
        <v>156990</v>
      </c>
      <c r="N22" s="35" t="str">
        <f>+IFERROR(IF(COUNT(N14:N21),ROUND(SUM(N14:N21),0),""),"")</f>
        <v/>
      </c>
      <c r="O22" s="35">
        <f>+IFERROR(IF(COUNT(O14:O21),ROUND(SUM(O14:O21),0),""),"")</f>
        <v>156990</v>
      </c>
      <c r="P22" s="17">
        <f>+IFERROR(IF(COUNT(O22),ROUND(O22/('Shareholding Pattern'!$P$58)*100,2),""),0)</f>
        <v>65.41</v>
      </c>
      <c r="Q22" s="53" t="str">
        <f>+IFERROR(IF(COUNT(Q14:Q21),ROUND(SUM(Q14:Q21),0),""),"")</f>
        <v/>
      </c>
      <c r="R22" s="53" t="str">
        <f>+IFERROR(IF(COUNT(R14:R21),ROUND(SUM(R14:R21),0),""),"")</f>
        <v/>
      </c>
      <c r="S22" s="53" t="str">
        <f>+IFERROR(IF(COUNT(S14:S21),ROUND(SUM(S14:S21),0),""),"")</f>
        <v/>
      </c>
      <c r="T22" s="17">
        <f>+IFERROR(IF(COUNT(K22,S22),ROUND(SUM(S22,K22)/SUM('Shareholding Pattern'!$L$57,'Shareholding Pattern'!$T$57)*100,2),""),0)</f>
        <v>65.41</v>
      </c>
      <c r="U22" s="53" t="str">
        <f>+IFERROR(IF(COUNT(U14:U21),ROUND(SUM(U14:U21),0),""),"")</f>
        <v/>
      </c>
      <c r="V22" s="17" t="str">
        <f>+IFERROR(IF(COUNT(U22),ROUND(SUM(U22)/SUM(K22)*100,2),""),0)</f>
        <v/>
      </c>
      <c r="W22" s="53" t="str">
        <f>+IFERROR(IF(COUNT(W14:W21),ROUND(SUM(W14:W21),0),""),"")</f>
        <v/>
      </c>
      <c r="X22" s="17" t="str">
        <f>+IFERROR(IF(COUNT(W22),ROUND(SUM(W22)/SUM(K22)*100,2),""),0)</f>
        <v/>
      </c>
      <c r="Y22" s="53">
        <f>+IFERROR(IF(COUNT(Y14:Y21),ROUND(SUM(Y14:Y21),0),""),"")</f>
        <v>156990</v>
      </c>
    </row>
  </sheetData>
  <sheetProtection password="F884" sheet="1" objects="1" scenarios="1"/>
  <mergeCells count="20">
    <mergeCell ref="S9:S11"/>
    <mergeCell ref="R9:R11"/>
    <mergeCell ref="I9:I11"/>
    <mergeCell ref="M10:O10"/>
    <mergeCell ref="P10:P11"/>
    <mergeCell ref="J9:J11"/>
    <mergeCell ref="K9:K11"/>
    <mergeCell ref="L9:L11"/>
    <mergeCell ref="M9:P9"/>
    <mergeCell ref="E9:E11"/>
    <mergeCell ref="F9:F11"/>
    <mergeCell ref="G9:G11"/>
    <mergeCell ref="H9:H11"/>
    <mergeCell ref="Q9:Q11"/>
    <mergeCell ref="T9:T11"/>
    <mergeCell ref="U9:V10"/>
    <mergeCell ref="W9:X10"/>
    <mergeCell ref="Y9:Y11"/>
    <mergeCell ref="AA9:AA11"/>
    <mergeCell ref="Z9:Z11"/>
  </mergeCells>
  <dataValidations count="6">
    <dataValidation type="whole" operator="lessThanOrEqual" allowBlank="1" showInputMessage="1" showErrorMessage="1" sqref="Y13 Y15:Y20">
      <formula1>K13</formula1>
    </dataValidation>
    <dataValidation type="whole" operator="lessThanOrEqual" allowBlank="1" showInputMessage="1" showErrorMessage="1" sqref="U13 U15:U20">
      <formula1>H13</formula1>
    </dataValidation>
    <dataValidation type="whole" operator="lessThanOrEqual" allowBlank="1" showInputMessage="1" showErrorMessage="1" sqref="W13 W15:W20">
      <formula1>H13</formula1>
    </dataValidation>
    <dataValidation type="whole" operator="greaterThanOrEqual" allowBlank="1" showInputMessage="1" showErrorMessage="1" sqref="Q13:R13 H13:J13 M13:N13 M15:N20 Q15:R20 H15:J20">
      <formula1>0</formula1>
    </dataValidation>
    <dataValidation type="textLength" operator="equal" allowBlank="1" showInputMessage="1" showErrorMessage="1" prompt="[A-Z][A-Z][A-Z][A-Z][A-Z][0-9][0-9][0-9][0-9][A-Z]_x000a__x000a_In absence of PAN write : ZZZZZ9999Z" sqref="G13 G15:G20">
      <formula1>10</formula1>
    </dataValidation>
    <dataValidation type="list" allowBlank="1" showInputMessage="1" showErrorMessage="1" sqref="AA13 AA15:AA20">
      <formula1>$AR$2:$AS$2</formula1>
    </dataValidation>
  </dataValidations>
  <hyperlinks>
    <hyperlink ref="G22" location="'Shareholding Pattern'!F14" display="Total"/>
    <hyperlink ref="F22" location="'Shareholding Pattern'!F14" display="Total"/>
  </hyperlinks>
  <pageMargins left="0.7" right="0.7" top="0.75" bottom="0.75" header="0.3" footer="0.3"/>
  <pageSetup orientation="portrait" r:id="rId1"/>
  <drawing r:id="rId2"/>
  <legacyDrawing r:id="rId3"/>
</worksheet>
</file>

<file path=xl/worksheets/sheet8.xml><?xml version="1.0" encoding="utf-8"?>
<worksheet xmlns="http://schemas.openxmlformats.org/spreadsheetml/2006/main" xmlns:r="http://schemas.openxmlformats.org/officeDocument/2006/relationships">
  <sheetPr codeName="Sheet38"/>
  <dimension ref="A1:AA14"/>
  <sheetViews>
    <sheetView showGridLines="0" topLeftCell="D7" workbookViewId="0">
      <selection activeCell="M10" sqref="M10:M11"/>
    </sheetView>
  </sheetViews>
  <sheetFormatPr defaultColWidth="0" defaultRowHeight="15"/>
  <cols>
    <col min="1" max="3" width="0" hidden="1" customWidth="1"/>
    <col min="4" max="4" width="2.7109375" customWidth="1"/>
    <col min="5" max="5" width="9.140625" customWidth="1"/>
    <col min="6" max="6" width="14" customWidth="1"/>
    <col min="7" max="8" width="15.7109375" customWidth="1"/>
    <col min="9" max="9" width="13" hidden="1" customWidth="1"/>
    <col min="10" max="10" width="20.140625" customWidth="1"/>
    <col min="11" max="11" width="18.140625" customWidth="1"/>
    <col min="12" max="12" width="14" customWidth="1"/>
    <col min="13" max="14" width="15.7109375" customWidth="1"/>
    <col min="15" max="15" width="20.140625" customWidth="1"/>
    <col min="16" max="16" width="18.140625" customWidth="1"/>
    <col min="17" max="18" width="9.140625" customWidth="1"/>
    <col min="19" max="19" width="18.7109375" customWidth="1"/>
    <col min="20" max="20" width="11.5703125" customWidth="1"/>
    <col min="21" max="21" width="10.42578125" customWidth="1"/>
    <col min="22" max="22" width="31" customWidth="1"/>
    <col min="23" max="23" width="9.140625" customWidth="1"/>
    <col min="24" max="27" width="0" hidden="1" customWidth="1"/>
    <col min="28" max="16384" width="9.140625" hidden="1"/>
  </cols>
  <sheetData>
    <row r="1" spans="1:27" hidden="1">
      <c r="I1">
        <v>0</v>
      </c>
      <c r="L1" t="s">
        <v>111</v>
      </c>
      <c r="M1" t="s">
        <v>122</v>
      </c>
      <c r="N1" t="s">
        <v>662</v>
      </c>
    </row>
    <row r="2" spans="1:27" ht="20.25" hidden="1" customHeight="1">
      <c r="F2" t="s">
        <v>679</v>
      </c>
      <c r="G2" t="s">
        <v>680</v>
      </c>
      <c r="H2" t="s">
        <v>681</v>
      </c>
      <c r="J2" t="s">
        <v>682</v>
      </c>
      <c r="K2" t="s">
        <v>683</v>
      </c>
      <c r="L2" t="s">
        <v>684</v>
      </c>
      <c r="M2" t="s">
        <v>685</v>
      </c>
      <c r="N2" t="s">
        <v>686</v>
      </c>
      <c r="O2" t="s">
        <v>687</v>
      </c>
      <c r="P2" t="s">
        <v>688</v>
      </c>
      <c r="Q2" t="s">
        <v>659</v>
      </c>
      <c r="R2" t="s">
        <v>693</v>
      </c>
      <c r="S2" t="s">
        <v>691</v>
      </c>
      <c r="T2" t="s">
        <v>661</v>
      </c>
      <c r="U2" t="s">
        <v>692</v>
      </c>
      <c r="V2" t="s">
        <v>689</v>
      </c>
    </row>
    <row r="3" spans="1:27" ht="15" hidden="1" customHeight="1">
      <c r="AA3" s="384" t="s">
        <v>664</v>
      </c>
    </row>
    <row r="4" spans="1:27" ht="15.75" hidden="1" customHeight="1">
      <c r="AA4" s="384" t="s">
        <v>665</v>
      </c>
    </row>
    <row r="5" spans="1:27" ht="13.5" hidden="1" customHeight="1">
      <c r="AA5" s="384" t="s">
        <v>666</v>
      </c>
    </row>
    <row r="6" spans="1:27" ht="17.25" hidden="1" customHeight="1">
      <c r="AA6" s="384" t="s">
        <v>667</v>
      </c>
    </row>
    <row r="7" spans="1:27">
      <c r="F7" s="547"/>
      <c r="G7" s="547"/>
      <c r="H7" s="547"/>
      <c r="I7" s="388"/>
      <c r="AA7" s="384" t="s">
        <v>668</v>
      </c>
    </row>
    <row r="8" spans="1:27">
      <c r="F8" s="548"/>
      <c r="G8" s="548"/>
      <c r="H8" s="548"/>
      <c r="I8" s="390"/>
      <c r="AA8" s="384" t="s">
        <v>669</v>
      </c>
    </row>
    <row r="9" spans="1:27" ht="60" customHeight="1">
      <c r="A9" s="7"/>
      <c r="E9" s="480" t="s">
        <v>132</v>
      </c>
      <c r="F9" s="471" t="s">
        <v>651</v>
      </c>
      <c r="G9" s="544"/>
      <c r="H9" s="544"/>
      <c r="I9" s="544"/>
      <c r="J9" s="544"/>
      <c r="K9" s="472"/>
      <c r="L9" s="471" t="s">
        <v>656</v>
      </c>
      <c r="M9" s="544"/>
      <c r="N9" s="544"/>
      <c r="O9" s="544"/>
      <c r="P9" s="472"/>
      <c r="Q9" s="546" t="s">
        <v>657</v>
      </c>
      <c r="R9" s="546"/>
      <c r="S9" s="546"/>
      <c r="T9" s="546"/>
      <c r="U9" s="546"/>
      <c r="V9" s="473" t="s">
        <v>689</v>
      </c>
      <c r="AA9" s="384" t="s">
        <v>670</v>
      </c>
    </row>
    <row r="10" spans="1:27" ht="14.25" customHeight="1">
      <c r="A10" s="7"/>
      <c r="E10" s="536"/>
      <c r="F10" s="473" t="s">
        <v>652</v>
      </c>
      <c r="G10" s="473" t="s">
        <v>653</v>
      </c>
      <c r="H10" s="545" t="s">
        <v>654</v>
      </c>
      <c r="I10" s="387"/>
      <c r="J10" s="473" t="s">
        <v>655</v>
      </c>
      <c r="K10" s="542" t="s">
        <v>675</v>
      </c>
      <c r="L10" s="473" t="s">
        <v>652</v>
      </c>
      <c r="M10" s="473" t="s">
        <v>653</v>
      </c>
      <c r="N10" s="545" t="s">
        <v>654</v>
      </c>
      <c r="O10" s="473" t="s">
        <v>655</v>
      </c>
      <c r="P10" s="542" t="s">
        <v>675</v>
      </c>
      <c r="Q10" s="473" t="s">
        <v>658</v>
      </c>
      <c r="R10" s="473"/>
      <c r="S10" s="473"/>
      <c r="T10" s="473"/>
      <c r="U10" s="473"/>
      <c r="V10" s="473"/>
      <c r="AA10" s="384" t="s">
        <v>671</v>
      </c>
    </row>
    <row r="11" spans="1:27" ht="47.25" customHeight="1">
      <c r="A11" s="7"/>
      <c r="E11" s="537"/>
      <c r="F11" s="473"/>
      <c r="G11" s="473"/>
      <c r="H11" s="545"/>
      <c r="I11" s="387"/>
      <c r="J11" s="473"/>
      <c r="K11" s="543"/>
      <c r="L11" s="473"/>
      <c r="M11" s="473"/>
      <c r="N11" s="545"/>
      <c r="O11" s="473"/>
      <c r="P11" s="543"/>
      <c r="Q11" s="378" t="s">
        <v>659</v>
      </c>
      <c r="R11" s="378" t="s">
        <v>660</v>
      </c>
      <c r="S11" s="392" t="s">
        <v>691</v>
      </c>
      <c r="T11" s="378" t="s">
        <v>661</v>
      </c>
      <c r="U11" s="378" t="s">
        <v>692</v>
      </c>
      <c r="V11" s="473"/>
      <c r="AA11" s="384" t="s">
        <v>672</v>
      </c>
    </row>
    <row r="12" spans="1:27">
      <c r="E12" s="381"/>
      <c r="F12" s="550" t="s">
        <v>673</v>
      </c>
      <c r="G12" s="550"/>
      <c r="H12" s="380"/>
      <c r="I12" s="380"/>
      <c r="J12" s="380"/>
      <c r="K12" s="380"/>
      <c r="L12" s="380"/>
      <c r="M12" s="380"/>
      <c r="N12" s="380"/>
      <c r="O12" s="380"/>
      <c r="P12" s="380"/>
      <c r="Q12" s="380"/>
      <c r="R12" s="380"/>
      <c r="S12" s="380"/>
      <c r="T12" s="380"/>
      <c r="U12" s="380"/>
      <c r="V12" s="382"/>
    </row>
    <row r="13" spans="1:27" ht="21" hidden="1" customHeight="1">
      <c r="E13" s="54"/>
      <c r="F13" s="261"/>
      <c r="G13" s="261"/>
      <c r="H13" s="261"/>
      <c r="I13" s="391"/>
      <c r="J13" s="385"/>
      <c r="K13" s="261"/>
      <c r="L13" s="261"/>
      <c r="M13" s="261"/>
      <c r="N13" s="261"/>
      <c r="O13" s="386"/>
      <c r="P13" s="261"/>
      <c r="Q13" s="100"/>
      <c r="R13" s="100"/>
      <c r="S13" s="100"/>
      <c r="T13" s="75"/>
      <c r="U13" s="75"/>
      <c r="V13" s="393"/>
    </row>
    <row r="14" spans="1:27" ht="24.75" customHeight="1">
      <c r="E14" s="45"/>
      <c r="F14" s="549"/>
      <c r="G14" s="549"/>
      <c r="H14" s="549"/>
      <c r="I14" s="389"/>
      <c r="J14" s="55"/>
      <c r="K14" s="55"/>
      <c r="L14" s="55"/>
      <c r="M14" s="55"/>
      <c r="N14" s="55"/>
      <c r="O14" s="55"/>
      <c r="P14" s="55"/>
      <c r="Q14" s="55"/>
      <c r="R14" s="55"/>
      <c r="S14" s="55"/>
      <c r="T14" s="55"/>
      <c r="U14" s="55"/>
      <c r="V14" s="198"/>
    </row>
  </sheetData>
  <sheetProtection password="F884" sheet="1" objects="1" scenarios="1"/>
  <dataConsolidate/>
  <mergeCells count="19">
    <mergeCell ref="F7:H8"/>
    <mergeCell ref="F14:H14"/>
    <mergeCell ref="E9:E11"/>
    <mergeCell ref="F10:F11"/>
    <mergeCell ref="G10:G11"/>
    <mergeCell ref="H10:H11"/>
    <mergeCell ref="F12:G12"/>
    <mergeCell ref="K10:K11"/>
    <mergeCell ref="F9:K9"/>
    <mergeCell ref="P10:P11"/>
    <mergeCell ref="L9:P9"/>
    <mergeCell ref="V9:V11"/>
    <mergeCell ref="L10:L11"/>
    <mergeCell ref="M10:M11"/>
    <mergeCell ref="N10:N11"/>
    <mergeCell ref="O10:O11"/>
    <mergeCell ref="Q9:U9"/>
    <mergeCell ref="Q10:U10"/>
    <mergeCell ref="J10:J11"/>
  </mergeCells>
  <dataValidations count="3">
    <dataValidation type="list" allowBlank="1" showInputMessage="1" showErrorMessage="1" sqref="T13:U13">
      <formula1>$L$1:$M$1</formula1>
    </dataValidation>
    <dataValidation type="decimal" allowBlank="1" showInputMessage="1" showErrorMessage="1" prompt="Enter the value without percentage (%) symbol (.e.g. to enter 10.00%, enter it as 10.00)" sqref="Q13:S13">
      <formula1>0</formula1>
      <formula2>100</formula2>
    </dataValidation>
    <dataValidation type="list" allowBlank="1" showInputMessage="1" showErrorMessage="1" sqref="J13 O13">
      <formula1>$AA$3:$AA$11</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sheetPr codeName="Sheet3">
    <tabColor theme="7"/>
  </sheetPr>
  <dimension ref="B1:XFC16"/>
  <sheetViews>
    <sheetView showGridLines="0" topLeftCell="A6" zoomScale="85" zoomScaleNormal="85" workbookViewId="0">
      <selection activeCell="F16" sqref="F16"/>
    </sheetView>
  </sheetViews>
  <sheetFormatPr defaultColWidth="0" defaultRowHeight="15"/>
  <cols>
    <col min="1" max="1" width="2.7109375" customWidth="1"/>
    <col min="2" max="2" width="4.42578125" hidden="1" customWidth="1"/>
    <col min="3" max="3" width="4" hidden="1" customWidth="1"/>
    <col min="4" max="4" width="2.710937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10.42578125" customWidth="1"/>
    <col min="17" max="18" width="14.5703125" hidden="1" customWidth="1"/>
    <col min="19" max="19" width="14.5703125" customWidth="1"/>
    <col min="20" max="20" width="19.140625" customWidth="1"/>
    <col min="21" max="21" width="15.42578125" hidden="1" customWidth="1"/>
    <col min="22" max="22" width="9.42578125" hidden="1" customWidth="1"/>
    <col min="23" max="23" width="15.42578125" hidden="1" customWidth="1"/>
    <col min="24" max="24" width="8.7109375" hidden="1" customWidth="1"/>
    <col min="25" max="25" width="15.42578125" customWidth="1"/>
    <col min="26" max="26" width="18.5703125" customWidth="1"/>
    <col min="27" max="27" width="17.140625" customWidth="1"/>
    <col min="28" max="28" width="4.42578125" customWidth="1"/>
    <col min="29" max="16383" width="1.85546875" hidden="1"/>
  </cols>
  <sheetData>
    <row r="1" spans="5:45" hidden="1">
      <c r="I1">
        <v>0</v>
      </c>
      <c r="AD1">
        <f>SUM(AC1:AC65531)</f>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9" spans="5:45" ht="29.25" customHeight="1">
      <c r="E9" s="538" t="s">
        <v>137</v>
      </c>
      <c r="F9" s="521" t="s">
        <v>136</v>
      </c>
      <c r="G9" s="521" t="s">
        <v>1</v>
      </c>
      <c r="H9" s="521" t="s">
        <v>3</v>
      </c>
      <c r="I9" s="521" t="s">
        <v>4</v>
      </c>
      <c r="J9" s="521" t="s">
        <v>5</v>
      </c>
      <c r="K9" s="521" t="s">
        <v>6</v>
      </c>
      <c r="L9" s="521" t="s">
        <v>7</v>
      </c>
      <c r="M9" s="521" t="s">
        <v>8</v>
      </c>
      <c r="N9" s="521"/>
      <c r="O9" s="521"/>
      <c r="P9" s="521"/>
      <c r="Q9" s="521" t="s">
        <v>9</v>
      </c>
      <c r="R9" s="538" t="s">
        <v>505</v>
      </c>
      <c r="S9" s="480" t="s">
        <v>142</v>
      </c>
      <c r="T9" s="521" t="s">
        <v>107</v>
      </c>
      <c r="U9" s="521" t="s">
        <v>12</v>
      </c>
      <c r="V9" s="521"/>
      <c r="W9" s="521" t="s">
        <v>13</v>
      </c>
      <c r="X9" s="521"/>
      <c r="Y9" s="521" t="s">
        <v>14</v>
      </c>
      <c r="Z9" s="473" t="s">
        <v>499</v>
      </c>
      <c r="AA9" s="538" t="s">
        <v>517</v>
      </c>
    </row>
    <row r="10" spans="5:45" ht="31.5" customHeight="1">
      <c r="E10" s="536"/>
      <c r="F10" s="521"/>
      <c r="G10" s="521"/>
      <c r="H10" s="521"/>
      <c r="I10" s="521"/>
      <c r="J10" s="521"/>
      <c r="K10" s="521"/>
      <c r="L10" s="521"/>
      <c r="M10" s="521" t="s">
        <v>15</v>
      </c>
      <c r="N10" s="521"/>
      <c r="O10" s="521"/>
      <c r="P10" s="521" t="s">
        <v>16</v>
      </c>
      <c r="Q10" s="521"/>
      <c r="R10" s="536"/>
      <c r="S10" s="536"/>
      <c r="T10" s="521"/>
      <c r="U10" s="521"/>
      <c r="V10" s="521"/>
      <c r="W10" s="521"/>
      <c r="X10" s="521"/>
      <c r="Y10" s="521"/>
      <c r="Z10" s="521"/>
      <c r="AA10" s="536"/>
    </row>
    <row r="11" spans="5:45" ht="78.75" customHeight="1">
      <c r="E11" s="537"/>
      <c r="F11" s="521"/>
      <c r="G11" s="521"/>
      <c r="H11" s="521"/>
      <c r="I11" s="521"/>
      <c r="J11" s="521"/>
      <c r="K11" s="521"/>
      <c r="L11" s="521"/>
      <c r="M11" s="32" t="s">
        <v>17</v>
      </c>
      <c r="N11" s="32" t="s">
        <v>18</v>
      </c>
      <c r="O11" s="32" t="s">
        <v>19</v>
      </c>
      <c r="P11" s="521"/>
      <c r="Q11" s="521"/>
      <c r="R11" s="537"/>
      <c r="S11" s="537"/>
      <c r="T11" s="521"/>
      <c r="U11" s="32" t="s">
        <v>20</v>
      </c>
      <c r="V11" s="41" t="s">
        <v>21</v>
      </c>
      <c r="W11" s="32" t="s">
        <v>20</v>
      </c>
      <c r="X11" s="32" t="s">
        <v>21</v>
      </c>
      <c r="Y11" s="521"/>
      <c r="Z11" s="521"/>
      <c r="AA11" s="537"/>
    </row>
    <row r="12" spans="5:45" s="300" customFormat="1" ht="19.5" customHeight="1">
      <c r="E12" s="9" t="s">
        <v>80</v>
      </c>
      <c r="F12" s="551" t="s">
        <v>29</v>
      </c>
      <c r="G12" s="552"/>
      <c r="H12" s="301"/>
      <c r="I12" s="301"/>
      <c r="J12" s="301"/>
      <c r="K12" s="301"/>
      <c r="L12" s="301"/>
      <c r="M12" s="301"/>
      <c r="N12" s="301"/>
      <c r="O12" s="301"/>
      <c r="P12" s="301"/>
      <c r="Q12" s="301"/>
      <c r="R12" s="301"/>
      <c r="S12" s="301"/>
      <c r="T12" s="301"/>
      <c r="U12" s="301"/>
      <c r="V12" s="301"/>
      <c r="W12" s="301"/>
      <c r="X12" s="301"/>
      <c r="Y12" s="301"/>
      <c r="Z12" s="301"/>
      <c r="AA12" s="302"/>
    </row>
    <row r="13" spans="5:45" s="307" customFormat="1" ht="18" hidden="1" customHeight="1">
      <c r="E13" s="308"/>
      <c r="F13" s="303"/>
      <c r="G13" s="304"/>
      <c r="H13" s="305"/>
      <c r="I13" s="306"/>
      <c r="J13" s="306"/>
      <c r="K13" s="309" t="str">
        <f>+IFERROR(IF(COUNT(H13:J13),ROUND(SUM(H13:J13),0),""),"")</f>
        <v/>
      </c>
      <c r="L13" s="310" t="str">
        <f>+IFERROR(IF(COUNT(K13),ROUND(K13/'Shareholding Pattern'!$L$57*100,2),""),0)</f>
        <v/>
      </c>
      <c r="M13" s="311" t="str">
        <f>IF(H13="","",H13)</f>
        <v/>
      </c>
      <c r="N13" s="312"/>
      <c r="O13" s="313" t="str">
        <f>+IFERROR(IF(COUNT(M13:N13),ROUND(SUM(M13,N13),2),""),"")</f>
        <v/>
      </c>
      <c r="P13" s="310" t="str">
        <f>+IFERROR(IF(COUNT(O13),ROUND(O13/('Shareholding Pattern'!$P$58)*100,2),""),0)</f>
        <v/>
      </c>
      <c r="Q13" s="306"/>
      <c r="R13" s="306"/>
      <c r="S13" s="314" t="str">
        <f>+IFERROR(IF(COUNT(Q13:R13),ROUND(SUM(Q13:R13),0),""),"")</f>
        <v/>
      </c>
      <c r="T13" s="310" t="str">
        <f>+IFERROR(IF(COUNT(K13,S13),ROUND(SUM(S13,K13)/SUM('Shareholding Pattern'!$L$57,'Shareholding Pattern'!$T$57)*100,2),""),0)</f>
        <v/>
      </c>
      <c r="U13" s="306"/>
      <c r="V13" s="310" t="str">
        <f>+IFERROR(IF(COUNT(U13),ROUND(SUM(U13)/SUM(K13)*100,2),""),0)</f>
        <v/>
      </c>
      <c r="W13" s="306"/>
      <c r="X13" s="310" t="str">
        <f>+IFERROR(IF(COUNT(W13),ROUND(SUM(W13)/SUM(K13)*100,2),""),0)</f>
        <v/>
      </c>
      <c r="Y13" s="305"/>
      <c r="Z13" s="315"/>
      <c r="AA13" s="336"/>
      <c r="AC13" s="307">
        <f>IF(SUM(H13:Y13)&gt;0,1,0)</f>
        <v>0</v>
      </c>
      <c r="AD13" s="307" t="str">
        <f>IF(COUNT(H15:$Y$14995)=0,"",SUM(AC1:AC65533))</f>
        <v/>
      </c>
    </row>
    <row r="14" spans="5:45" s="300" customFormat="1" ht="25.5" customHeight="1">
      <c r="E14" s="297"/>
      <c r="F14" s="298"/>
      <c r="G14" s="298"/>
      <c r="H14" s="298"/>
      <c r="I14" s="298"/>
      <c r="J14" s="298"/>
      <c r="K14" s="298"/>
      <c r="L14" s="298"/>
      <c r="M14" s="298"/>
      <c r="N14" s="298"/>
      <c r="O14" s="298"/>
      <c r="P14" s="298"/>
      <c r="Q14" s="298"/>
      <c r="R14" s="298"/>
      <c r="S14" s="298"/>
      <c r="T14" s="298"/>
      <c r="U14" s="298"/>
      <c r="V14" s="298"/>
      <c r="W14" s="298"/>
      <c r="X14" s="298"/>
      <c r="Y14" s="298"/>
      <c r="Z14" s="298"/>
      <c r="AA14" s="299"/>
    </row>
    <row r="15" spans="5:45" ht="24.95" hidden="1" customHeight="1">
      <c r="E15" s="14"/>
      <c r="F15" s="15"/>
      <c r="G15" s="15"/>
      <c r="H15" s="15"/>
      <c r="I15" s="197"/>
      <c r="J15" s="197"/>
      <c r="K15" s="197"/>
      <c r="L15" s="15"/>
      <c r="M15" s="15"/>
      <c r="N15" s="15"/>
      <c r="O15" s="15"/>
      <c r="P15" s="15"/>
      <c r="Q15" s="15"/>
      <c r="R15" s="15"/>
      <c r="S15" s="15"/>
      <c r="T15" s="15"/>
      <c r="U15" s="15"/>
      <c r="V15" s="15"/>
      <c r="W15" s="15"/>
      <c r="X15" s="15"/>
      <c r="Y15" s="198"/>
    </row>
    <row r="16" spans="5:45" ht="20.100000000000001" customHeight="1">
      <c r="E16" s="126"/>
      <c r="F16" s="62" t="s">
        <v>450</v>
      </c>
      <c r="G16" s="62" t="s">
        <v>19</v>
      </c>
      <c r="H16" s="53" t="str">
        <f>+IFERROR(IF(COUNT(H14:H15),ROUND(SUM(H14:H15),0),""),"")</f>
        <v/>
      </c>
      <c r="I16" s="53" t="str">
        <f>+IFERROR(IF(COUNT(I14:I15),ROUND(SUM(I14:I15),0),""),"")</f>
        <v/>
      </c>
      <c r="J16" s="53" t="str">
        <f>+IFERROR(IF(COUNT(J14:J15),ROUND(SUM(J14:J15),0),""),"")</f>
        <v/>
      </c>
      <c r="K16" s="46" t="str">
        <f>+IFERROR(IF(COUNT(H16:J16),ROUND(SUM(H16:J16),0),""),"")</f>
        <v/>
      </c>
      <c r="L16" s="17" t="str">
        <f>+IFERROR(IF(COUNT(K16),ROUND(K16/'Shareholding Pattern'!$L$57*100,2),""),0)</f>
        <v/>
      </c>
      <c r="M16" s="35" t="str">
        <f>+IFERROR(IF(COUNT(M14:M15),ROUND(SUM(M14:M15),0),""),"")</f>
        <v/>
      </c>
      <c r="N16" s="35" t="str">
        <f>+IFERROR(IF(COUNT(N14:N15),ROUND(SUM(N14:N15),0),""),"")</f>
        <v/>
      </c>
      <c r="O16" s="51" t="str">
        <f>+IFERROR(IF(COUNT(M16:N16),ROUND(SUM(M16,N16),2),""),"")</f>
        <v/>
      </c>
      <c r="P16" s="17" t="str">
        <f>+IFERROR(IF(COUNT(O16),ROUND(O16/('Shareholding Pattern'!$P$58)*100,2),""),0)</f>
        <v/>
      </c>
      <c r="Q16" s="53" t="str">
        <f>+IFERROR(IF(COUNT(Q14:Q15),ROUND(SUM(Q14:Q15),0),""),"")</f>
        <v/>
      </c>
      <c r="R16" s="53" t="str">
        <f>+IFERROR(IF(COUNT(R14:R15),ROUND(SUM(R14:R15),0),""),"")</f>
        <v/>
      </c>
      <c r="S16" s="48" t="str">
        <f>+IFERROR(IF(COUNT(Q16:R16),ROUND(SUM(Q16:R16),0),""),"")</f>
        <v/>
      </c>
      <c r="T16" s="17" t="str">
        <f>+IFERROR(IF(COUNT(K16,S16),ROUND(SUM(S16,K16)/SUM('Shareholding Pattern'!$L$57,'Shareholding Pattern'!$T$57)*100,2),""),0)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password="F884" sheet="1" objects="1" scenarios="1"/>
  <mergeCells count="21">
    <mergeCell ref="AA9:AA11"/>
    <mergeCell ref="E9:E11"/>
    <mergeCell ref="F9:F11"/>
    <mergeCell ref="G9:G11"/>
    <mergeCell ref="H9:H11"/>
    <mergeCell ref="I9:I11"/>
    <mergeCell ref="Z9:Z11"/>
    <mergeCell ref="Q9:Q11"/>
    <mergeCell ref="R9:R11"/>
    <mergeCell ref="U9:V10"/>
    <mergeCell ref="W9:X10"/>
    <mergeCell ref="Y9:Y11"/>
    <mergeCell ref="T9:T11"/>
    <mergeCell ref="S9:S11"/>
    <mergeCell ref="F12:G12"/>
    <mergeCell ref="M10:O10"/>
    <mergeCell ref="P10:P11"/>
    <mergeCell ref="J9:J11"/>
    <mergeCell ref="K9:K11"/>
    <mergeCell ref="L9:L11"/>
    <mergeCell ref="M9:P9"/>
  </mergeCells>
  <dataValidations count="7">
    <dataValidation type="whole" operator="lessThanOrEqual" allowBlank="1" showInputMessage="1" showErrorMessage="1" sqref="Y13">
      <formula1>K13</formula1>
    </dataValidation>
    <dataValidation type="whole" operator="lessThanOrEqual" allowBlank="1" showInputMessage="1" showErrorMessage="1" sqref="U13">
      <formula1>H13</formula1>
    </dataValidation>
    <dataValidation type="whole" operator="lessThanOrEqual" allowBlank="1" showInputMessage="1" showErrorMessage="1" sqref="W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H13:J13 M13:N13">
      <formula1>0</formula1>
    </dataValidation>
    <dataValidation type="decimal" operator="lessThanOrEqual" allowBlank="1" showInputMessage="1" showErrorMessage="1" sqref="L13">
      <formula1>1</formula1>
    </dataValidation>
    <dataValidation type="list" allowBlank="1" showInputMessage="1" showErrorMessage="1" sqref="AA13">
      <formula1>$AR$2:$AS$2</formula1>
    </dataValidation>
  </dataValidations>
  <hyperlinks>
    <hyperlink ref="G16" location="'Shareholding Pattern'!F15" display="Total"/>
    <hyperlink ref="F16" location="'Shareholding Pattern'!F15" display="Total"/>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sheetPr codeName="Sheet4">
    <tabColor theme="7"/>
  </sheetPr>
  <dimension ref="A1:XFC16"/>
  <sheetViews>
    <sheetView showGridLines="0" topLeftCell="A6" zoomScale="85" zoomScaleNormal="85" workbookViewId="0">
      <selection activeCell="M28" sqref="M28"/>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8.28515625" customWidth="1"/>
    <col min="17" max="18" width="14.5703125" hidden="1" customWidth="1"/>
    <col min="19" max="19" width="14.5703125" customWidth="1"/>
    <col min="20" max="20" width="19.140625" customWidth="1"/>
    <col min="21" max="21" width="15.42578125" hidden="1" customWidth="1"/>
    <col min="22" max="22" width="8.5703125" hidden="1" customWidth="1"/>
    <col min="23" max="23" width="15.42578125" hidden="1" customWidth="1"/>
    <col min="24" max="24" width="7.85546875" hidden="1" customWidth="1"/>
    <col min="25" max="25" width="15.42578125" customWidth="1"/>
    <col min="26" max="26" width="18" customWidth="1"/>
    <col min="27" max="27" width="17.140625" customWidth="1"/>
    <col min="28" max="28" width="4.140625" customWidth="1"/>
    <col min="29" max="16383" width="1.85546875" hidden="1"/>
    <col min="16384" max="16384" width="5.140625"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7" spans="5:45">
      <c r="AR7" t="s">
        <v>393</v>
      </c>
    </row>
    <row r="8" spans="5:45">
      <c r="AR8" t="s">
        <v>394</v>
      </c>
    </row>
    <row r="9" spans="5:45" ht="29.25" customHeight="1">
      <c r="E9" s="538" t="s">
        <v>137</v>
      </c>
      <c r="F9" s="521" t="s">
        <v>136</v>
      </c>
      <c r="G9" s="521" t="s">
        <v>1</v>
      </c>
      <c r="H9" s="521" t="s">
        <v>3</v>
      </c>
      <c r="I9" s="521" t="s">
        <v>4</v>
      </c>
      <c r="J9" s="521" t="s">
        <v>5</v>
      </c>
      <c r="K9" s="521" t="s">
        <v>6</v>
      </c>
      <c r="L9" s="521" t="s">
        <v>7</v>
      </c>
      <c r="M9" s="521" t="s">
        <v>8</v>
      </c>
      <c r="N9" s="521"/>
      <c r="O9" s="521"/>
      <c r="P9" s="521"/>
      <c r="Q9" s="521" t="s">
        <v>9</v>
      </c>
      <c r="R9" s="538" t="s">
        <v>505</v>
      </c>
      <c r="S9" s="538" t="s">
        <v>134</v>
      </c>
      <c r="T9" s="521" t="s">
        <v>107</v>
      </c>
      <c r="U9" s="521" t="s">
        <v>12</v>
      </c>
      <c r="V9" s="521"/>
      <c r="W9" s="521" t="s">
        <v>13</v>
      </c>
      <c r="X9" s="521"/>
      <c r="Y9" s="521" t="s">
        <v>14</v>
      </c>
      <c r="Z9" s="473" t="s">
        <v>499</v>
      </c>
      <c r="AA9" s="538" t="s">
        <v>517</v>
      </c>
      <c r="AR9" t="s">
        <v>395</v>
      </c>
    </row>
    <row r="10" spans="5:45" ht="31.5" customHeight="1">
      <c r="E10" s="536"/>
      <c r="F10" s="521"/>
      <c r="G10" s="521"/>
      <c r="H10" s="521"/>
      <c r="I10" s="521"/>
      <c r="J10" s="521"/>
      <c r="K10" s="521"/>
      <c r="L10" s="521"/>
      <c r="M10" s="521" t="s">
        <v>15</v>
      </c>
      <c r="N10" s="521"/>
      <c r="O10" s="521"/>
      <c r="P10" s="521" t="s">
        <v>16</v>
      </c>
      <c r="Q10" s="521"/>
      <c r="R10" s="536"/>
      <c r="S10" s="536"/>
      <c r="T10" s="521"/>
      <c r="U10" s="521"/>
      <c r="V10" s="521"/>
      <c r="W10" s="521"/>
      <c r="X10" s="521"/>
      <c r="Y10" s="521"/>
      <c r="Z10" s="521"/>
      <c r="AA10" s="536"/>
      <c r="AR10" t="s">
        <v>396</v>
      </c>
    </row>
    <row r="11" spans="5:45" ht="78.75" customHeight="1">
      <c r="E11" s="537"/>
      <c r="F11" s="521"/>
      <c r="G11" s="521"/>
      <c r="H11" s="521"/>
      <c r="I11" s="521"/>
      <c r="J11" s="521"/>
      <c r="K11" s="521"/>
      <c r="L11" s="521"/>
      <c r="M11" s="40" t="s">
        <v>17</v>
      </c>
      <c r="N11" s="40" t="s">
        <v>18</v>
      </c>
      <c r="O11" s="40" t="s">
        <v>19</v>
      </c>
      <c r="P11" s="521"/>
      <c r="Q11" s="521"/>
      <c r="R11" s="537"/>
      <c r="S11" s="537"/>
      <c r="T11" s="521"/>
      <c r="U11" s="40" t="s">
        <v>20</v>
      </c>
      <c r="V11" s="40" t="s">
        <v>21</v>
      </c>
      <c r="W11" s="40" t="s">
        <v>20</v>
      </c>
      <c r="X11" s="40" t="s">
        <v>21</v>
      </c>
      <c r="Y11" s="521"/>
      <c r="Z11" s="521"/>
      <c r="AA11" s="537"/>
      <c r="AR11" t="s">
        <v>397</v>
      </c>
    </row>
    <row r="12" spans="5:45" ht="24.75" customHeight="1">
      <c r="E12" s="9" t="s">
        <v>81</v>
      </c>
      <c r="F12" s="52" t="s">
        <v>31</v>
      </c>
      <c r="G12" s="30"/>
      <c r="H12" s="30"/>
      <c r="I12" s="30"/>
      <c r="J12" s="30"/>
      <c r="K12" s="30"/>
      <c r="L12" s="30"/>
      <c r="M12" s="30"/>
      <c r="N12" s="30"/>
      <c r="O12" s="30"/>
      <c r="P12" s="30"/>
      <c r="Q12" s="30"/>
      <c r="R12" s="30"/>
      <c r="S12" s="30"/>
      <c r="T12" s="30"/>
      <c r="U12" s="30"/>
      <c r="V12" s="30"/>
      <c r="W12" s="30"/>
      <c r="X12" s="30"/>
      <c r="Y12" s="30"/>
      <c r="Z12" s="30"/>
      <c r="AA12" s="31"/>
      <c r="AR12" t="s">
        <v>398</v>
      </c>
    </row>
    <row r="13" spans="5:45" s="11" customFormat="1" ht="21.75" hidden="1" customHeight="1">
      <c r="E13" s="195"/>
      <c r="F13" s="10"/>
      <c r="G13" s="10"/>
      <c r="H13" s="16"/>
      <c r="I13" s="47"/>
      <c r="J13" s="47"/>
      <c r="K13" s="46" t="str">
        <f>+IFERROR(IF(COUNT(H13:J13),ROUND(SUM(H13:J13),0),""),"")</f>
        <v/>
      </c>
      <c r="L13" s="17" t="str">
        <f>+IFERROR(IF(COUNT(K13),ROUND(K13/'Shareholding Pattern'!$L$57*100,2),""),0)</f>
        <v/>
      </c>
      <c r="M13" s="277" t="str">
        <f>IF(H13="","",H13)</f>
        <v/>
      </c>
      <c r="N13" s="207"/>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3"/>
      <c r="AA13" s="335"/>
      <c r="AC13" s="11">
        <f>IF(SUM(H13:Y13)&gt;0,1,0)</f>
        <v>0</v>
      </c>
      <c r="AD13" s="11" t="str">
        <f>IF(COUNT(H15:$Y$14999)=0,"",SUM(AC1:AC65533))</f>
        <v/>
      </c>
      <c r="AR13" s="11" t="s">
        <v>399</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400</v>
      </c>
    </row>
    <row r="15" spans="5:45" ht="15" hidden="1" customHeight="1">
      <c r="E15" s="12"/>
      <c r="F15" s="13"/>
      <c r="G15" s="13"/>
      <c r="H15" s="13"/>
      <c r="I15" s="13"/>
      <c r="J15" s="13"/>
      <c r="K15" s="13"/>
      <c r="L15" s="13"/>
      <c r="M15" s="13"/>
      <c r="N15" s="13"/>
      <c r="O15" s="13"/>
      <c r="P15" s="13"/>
      <c r="Q15" s="13"/>
      <c r="R15" s="13"/>
      <c r="S15" s="13"/>
      <c r="T15" s="13"/>
      <c r="U15" s="13"/>
      <c r="V15" s="13"/>
      <c r="W15" s="13"/>
      <c r="X15" s="13"/>
      <c r="Y15" s="198"/>
    </row>
    <row r="16" spans="5:45" ht="20.100000000000001" customHeight="1">
      <c r="E16" s="37"/>
      <c r="F16" s="62" t="s">
        <v>450</v>
      </c>
      <c r="G16" s="62"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Pattern'!$L$57*100,2),""),0)</f>
        <v/>
      </c>
      <c r="M16" s="35" t="str">
        <f>+IFERROR(IF(COUNT(M14:M15),ROUND(SUM(M14:M15),0),""),"")</f>
        <v/>
      </c>
      <c r="N16" s="35" t="str">
        <f>+IFERROR(IF(COUNT(N14:N15),ROUND(SUM(N14:N15),0),""),"")</f>
        <v/>
      </c>
      <c r="O16" s="35" t="str">
        <f>+IFERROR(IF(COUNT(O14:O15),ROUND(SUM(O14:O15),0),""),"")</f>
        <v/>
      </c>
      <c r="P16" s="17" t="str">
        <f>+IFERROR(IF(COUNT(O16),ROUND(O16/('Shareholding Pattern'!$P$58)*100,2),""),0)</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password="F884" sheet="1" objects="1" scenarios="1"/>
  <mergeCells count="20">
    <mergeCell ref="K9:K11"/>
    <mergeCell ref="L9:L11"/>
    <mergeCell ref="M9:P9"/>
    <mergeCell ref="AA9:AA11"/>
    <mergeCell ref="Z9:Z11"/>
    <mergeCell ref="U9:V10"/>
    <mergeCell ref="W9:X10"/>
    <mergeCell ref="Y9:Y11"/>
    <mergeCell ref="T9:T11"/>
    <mergeCell ref="S9:S11"/>
    <mergeCell ref="Q9:Q11"/>
    <mergeCell ref="R9:R11"/>
    <mergeCell ref="M10:O10"/>
    <mergeCell ref="P10:P11"/>
    <mergeCell ref="J9:J11"/>
    <mergeCell ref="E9:E11"/>
    <mergeCell ref="F9:F11"/>
    <mergeCell ref="G9:G11"/>
    <mergeCell ref="H9:H11"/>
    <mergeCell ref="I9:I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list" allowBlank="1" showInputMessage="1" showErrorMessage="1" sqref="AA13">
      <formula1>$AR$2:$AS$2</formula1>
    </dataValidation>
  </dataValidations>
  <hyperlinks>
    <hyperlink ref="G16" location="'Shareholding Pattern'!F16" display="Total"/>
    <hyperlink ref="F16" location="'Shareholding Pattern'!F16" display="Total"/>
  </hyperlink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sheetPr codeName="Sheet5">
    <tabColor theme="7"/>
  </sheetPr>
  <dimension ref="A1:XFC18"/>
  <sheetViews>
    <sheetView showGridLines="0" topLeftCell="D7" zoomScale="85" zoomScaleNormal="85" workbookViewId="0">
      <selection activeCell="H22" sqref="H22"/>
    </sheetView>
  </sheetViews>
  <sheetFormatPr defaultColWidth="0" defaultRowHeight="15"/>
  <cols>
    <col min="1" max="1" width="2.28515625" customWidth="1"/>
    <col min="2" max="2" width="2.140625" hidden="1" customWidth="1"/>
    <col min="3" max="3" width="2" hidden="1" customWidth="1"/>
    <col min="4" max="4" width="9.7109375" customWidth="1"/>
    <col min="5" max="5" width="33.28515625" customWidth="1"/>
    <col min="6" max="6" width="35.7109375" hidden="1" customWidth="1"/>
    <col min="7" max="7" width="38" customWidth="1"/>
    <col min="8" max="8" width="13.7109375" customWidth="1"/>
    <col min="9" max="10" width="14.5703125" customWidth="1"/>
    <col min="11" max="11" width="14.5703125" hidden="1" customWidth="1"/>
    <col min="12" max="12" width="15.5703125" hidden="1" customWidth="1"/>
    <col min="13" max="13" width="13.5703125" customWidth="1"/>
    <col min="14" max="14" width="16.7109375" customWidth="1"/>
    <col min="15" max="15" width="16" customWidth="1"/>
    <col min="16" max="16" width="15.7109375" hidden="1" customWidth="1"/>
    <col min="17" max="17" width="16.140625" customWidth="1"/>
    <col min="18" max="18" width="12" customWidth="1"/>
    <col min="19" max="20" width="14.5703125" hidden="1" customWidth="1"/>
    <col min="21" max="21" width="19.140625" customWidth="1"/>
    <col min="22" max="22" width="15.42578125" customWidth="1"/>
    <col min="23" max="23" width="14.42578125" hidden="1" customWidth="1"/>
    <col min="24" max="24" width="8.5703125" hidden="1" customWidth="1"/>
    <col min="25" max="25" width="13.5703125" hidden="1" customWidth="1"/>
    <col min="26" max="26" width="8.42578125" hidden="1" customWidth="1"/>
    <col min="27" max="27" width="14.5703125" customWidth="1"/>
    <col min="28" max="28" width="19.28515625" customWidth="1"/>
    <col min="29" max="29" width="17.140625" style="291" customWidth="1"/>
    <col min="30" max="30" width="3" style="291" customWidth="1"/>
    <col min="31" max="16383" width="1" hidden="1"/>
    <col min="16384" max="16384" width="2.28515625" hidden="1" customWidth="1"/>
  </cols>
  <sheetData>
    <row r="1" spans="4:53" hidden="1">
      <c r="I1">
        <v>2</v>
      </c>
      <c r="AC1"/>
      <c r="AD1"/>
      <c r="AR1" s="7" t="s">
        <v>452</v>
      </c>
    </row>
    <row r="2" spans="4:53" hidden="1">
      <c r="E2" t="s">
        <v>347</v>
      </c>
      <c r="F2" t="s">
        <v>435</v>
      </c>
      <c r="G2" t="s">
        <v>249</v>
      </c>
      <c r="H2" t="s">
        <v>420</v>
      </c>
      <c r="I2" t="s">
        <v>144</v>
      </c>
      <c r="J2" t="s">
        <v>165</v>
      </c>
      <c r="K2" t="s">
        <v>166</v>
      </c>
      <c r="L2" t="s">
        <v>167</v>
      </c>
      <c r="M2" t="s">
        <v>168</v>
      </c>
      <c r="N2" t="s">
        <v>169</v>
      </c>
      <c r="O2" t="s">
        <v>170</v>
      </c>
      <c r="P2" t="s">
        <v>171</v>
      </c>
      <c r="Q2" t="s">
        <v>172</v>
      </c>
      <c r="R2" t="s">
        <v>173</v>
      </c>
      <c r="S2" t="s">
        <v>174</v>
      </c>
      <c r="T2" t="s">
        <v>175</v>
      </c>
      <c r="U2" t="s">
        <v>176</v>
      </c>
      <c r="V2" t="s">
        <v>177</v>
      </c>
      <c r="W2" t="s">
        <v>178</v>
      </c>
      <c r="X2" t="s">
        <v>179</v>
      </c>
      <c r="Y2" t="s">
        <v>180</v>
      </c>
      <c r="Z2" t="s">
        <v>181</v>
      </c>
      <c r="AA2" t="s">
        <v>182</v>
      </c>
      <c r="AB2" t="s">
        <v>499</v>
      </c>
      <c r="AC2" t="s">
        <v>517</v>
      </c>
      <c r="AD2"/>
      <c r="AR2" s="7" t="s">
        <v>498</v>
      </c>
      <c r="AZ2" t="s">
        <v>519</v>
      </c>
      <c r="BA2" t="s">
        <v>520</v>
      </c>
    </row>
    <row r="3" spans="4:53" hidden="1">
      <c r="AC3"/>
      <c r="AD3"/>
      <c r="AR3" s="7" t="s">
        <v>441</v>
      </c>
    </row>
    <row r="4" spans="4:53" hidden="1">
      <c r="AC4"/>
      <c r="AD4"/>
      <c r="AR4" s="7" t="s">
        <v>393</v>
      </c>
    </row>
    <row r="5" spans="4:53" hidden="1">
      <c r="AC5"/>
      <c r="AD5"/>
      <c r="AR5" s="7" t="s">
        <v>442</v>
      </c>
    </row>
    <row r="6" spans="4:53" hidden="1">
      <c r="AC6"/>
      <c r="AD6"/>
      <c r="AR6" s="7" t="s">
        <v>401</v>
      </c>
    </row>
    <row r="7" spans="4:53" ht="15" customHeight="1">
      <c r="AC7"/>
      <c r="AD7"/>
      <c r="AR7" s="7"/>
    </row>
    <row r="8" spans="4:53" ht="15" customHeight="1">
      <c r="AC8"/>
      <c r="AD8"/>
      <c r="AR8" s="7"/>
    </row>
    <row r="9" spans="4:53" ht="29.25" customHeight="1">
      <c r="D9" s="538" t="s">
        <v>137</v>
      </c>
      <c r="E9" s="521" t="s">
        <v>34</v>
      </c>
      <c r="F9" s="521"/>
      <c r="G9" s="538" t="s">
        <v>136</v>
      </c>
      <c r="H9" s="521" t="s">
        <v>1</v>
      </c>
      <c r="I9" s="473" t="s">
        <v>426</v>
      </c>
      <c r="J9" s="521" t="s">
        <v>3</v>
      </c>
      <c r="K9" s="521" t="s">
        <v>4</v>
      </c>
      <c r="L9" s="521" t="s">
        <v>5</v>
      </c>
      <c r="M9" s="521" t="s">
        <v>6</v>
      </c>
      <c r="N9" s="521" t="s">
        <v>7</v>
      </c>
      <c r="O9" s="521" t="s">
        <v>8</v>
      </c>
      <c r="P9" s="521"/>
      <c r="Q9" s="521"/>
      <c r="R9" s="521"/>
      <c r="S9" s="521" t="s">
        <v>9</v>
      </c>
      <c r="T9" s="538" t="s">
        <v>505</v>
      </c>
      <c r="U9" s="538" t="s">
        <v>134</v>
      </c>
      <c r="V9" s="521" t="s">
        <v>107</v>
      </c>
      <c r="W9" s="521" t="s">
        <v>12</v>
      </c>
      <c r="X9" s="521"/>
      <c r="Y9" s="521" t="s">
        <v>13</v>
      </c>
      <c r="Z9" s="521"/>
      <c r="AA9" s="521" t="s">
        <v>14</v>
      </c>
      <c r="AB9" s="473" t="s">
        <v>499</v>
      </c>
      <c r="AC9" s="538" t="s">
        <v>517</v>
      </c>
      <c r="AD9"/>
      <c r="AR9" s="7"/>
      <c r="AV9" t="s">
        <v>34</v>
      </c>
    </row>
    <row r="10" spans="4:53" ht="31.5" customHeight="1">
      <c r="D10" s="536"/>
      <c r="E10" s="521"/>
      <c r="F10" s="521"/>
      <c r="G10" s="536"/>
      <c r="H10" s="521"/>
      <c r="I10" s="521"/>
      <c r="J10" s="521"/>
      <c r="K10" s="521"/>
      <c r="L10" s="521"/>
      <c r="M10" s="521"/>
      <c r="N10" s="521"/>
      <c r="O10" s="521" t="s">
        <v>15</v>
      </c>
      <c r="P10" s="521"/>
      <c r="Q10" s="521"/>
      <c r="R10" s="521" t="s">
        <v>16</v>
      </c>
      <c r="S10" s="521"/>
      <c r="T10" s="536"/>
      <c r="U10" s="536"/>
      <c r="V10" s="521"/>
      <c r="W10" s="521"/>
      <c r="X10" s="521"/>
      <c r="Y10" s="521"/>
      <c r="Z10" s="521"/>
      <c r="AA10" s="521"/>
      <c r="AB10" s="521"/>
      <c r="AC10" s="536"/>
      <c r="AD10"/>
      <c r="AR10" s="7"/>
      <c r="AV10" t="s">
        <v>437</v>
      </c>
    </row>
    <row r="11" spans="4:53" ht="78.75" customHeight="1">
      <c r="D11" s="537"/>
      <c r="E11" s="521"/>
      <c r="F11" s="521"/>
      <c r="G11" s="537"/>
      <c r="H11" s="521"/>
      <c r="I11" s="521"/>
      <c r="J11" s="521"/>
      <c r="K11" s="521"/>
      <c r="L11" s="521"/>
      <c r="M11" s="521"/>
      <c r="N11" s="521"/>
      <c r="O11" s="40" t="s">
        <v>17</v>
      </c>
      <c r="P11" s="40" t="s">
        <v>18</v>
      </c>
      <c r="Q11" s="40" t="s">
        <v>19</v>
      </c>
      <c r="R11" s="521"/>
      <c r="S11" s="521"/>
      <c r="T11" s="537"/>
      <c r="U11" s="537"/>
      <c r="V11" s="521"/>
      <c r="W11" s="40" t="s">
        <v>20</v>
      </c>
      <c r="X11" s="40" t="s">
        <v>21</v>
      </c>
      <c r="Y11" s="40" t="s">
        <v>20</v>
      </c>
      <c r="Z11" s="40" t="s">
        <v>21</v>
      </c>
      <c r="AA11" s="521"/>
      <c r="AB11" s="521"/>
      <c r="AC11" s="537"/>
      <c r="AD11"/>
    </row>
    <row r="12" spans="4:53" ht="24" customHeight="1">
      <c r="D12" s="9" t="s">
        <v>82</v>
      </c>
      <c r="E12" s="81" t="s">
        <v>33</v>
      </c>
      <c r="F12" s="82"/>
      <c r="G12" s="30"/>
      <c r="H12" s="30"/>
      <c r="I12" s="30"/>
      <c r="J12" s="30"/>
      <c r="K12" s="30"/>
      <c r="L12" s="30"/>
      <c r="M12" s="30"/>
      <c r="N12" s="30"/>
      <c r="O12" s="30"/>
      <c r="P12" s="30"/>
      <c r="Q12" s="30"/>
      <c r="R12" s="30"/>
      <c r="S12" s="30"/>
      <c r="T12" s="30"/>
      <c r="U12" s="30"/>
      <c r="V12" s="30"/>
      <c r="W12" s="30"/>
      <c r="X12" s="30"/>
      <c r="Y12" s="30"/>
      <c r="Z12" s="30"/>
      <c r="AA12" s="30"/>
      <c r="AB12" s="30"/>
      <c r="AC12" s="31"/>
      <c r="AD12"/>
    </row>
    <row r="13" spans="4:53" s="11" customFormat="1" ht="20.100000000000001" hidden="1" customHeight="1">
      <c r="D13" s="195"/>
      <c r="E13" s="85"/>
      <c r="F13" s="77"/>
      <c r="G13" s="77"/>
      <c r="H13" s="16"/>
      <c r="I13" s="16"/>
      <c r="J13" s="16"/>
      <c r="K13" s="47"/>
      <c r="L13" s="47"/>
      <c r="M13" s="238" t="str">
        <f>+IFERROR(IF(COUNT(J13:L13),ROUND(SUM(J13:L13),0),""),"")</f>
        <v/>
      </c>
      <c r="N13" s="236" t="str">
        <f>+IFERROR(IF(COUNT(M13),ROUND(M13/'Shareholding Pattern'!$L$57*100,2),""),0)</f>
        <v/>
      </c>
      <c r="O13" s="277" t="str">
        <f>IF(J13="","",J13)</f>
        <v/>
      </c>
      <c r="P13" s="207"/>
      <c r="Q13" s="237" t="str">
        <f>+IFERROR(IF(COUNT(O13:P13),ROUND(SUM(O13,P13),2),""),"")</f>
        <v/>
      </c>
      <c r="R13" s="236" t="str">
        <f>+IFERROR(IF(COUNT(Q13),ROUND(Q13/('Shareholding Pattern'!$P$58)*100,2),""),0)</f>
        <v/>
      </c>
      <c r="S13" s="47"/>
      <c r="T13" s="47"/>
      <c r="U13" s="239" t="str">
        <f>+IFERROR(IF(COUNT(S13:T13),ROUND(SUM(S13:T13),0),""),"")</f>
        <v/>
      </c>
      <c r="V13" s="236" t="str">
        <f>+IFERROR(IF(COUNT(M13,U13),ROUND(SUM(U13,M13)/SUM('Shareholding Pattern'!$L$57,'Shareholding Pattern'!$T$57)*100,2),""),0)</f>
        <v/>
      </c>
      <c r="W13" s="47"/>
      <c r="X13" s="236" t="str">
        <f>+IFERROR(IF(COUNT(W13),ROUND(SUM(W13)/SUM(M13)*100,2),""),0)</f>
        <v/>
      </c>
      <c r="Y13" s="47"/>
      <c r="Z13" s="236" t="str">
        <f>+IFERROR(IF(COUNT(Y13),ROUND(SUM(Y13)/SUM(M13)*100,2),""),0)</f>
        <v/>
      </c>
      <c r="AA13" s="212"/>
      <c r="AB13" s="284"/>
      <c r="AC13" s="334"/>
      <c r="AD13" s="290">
        <f>IF(COUNT(H17:$AA$15001)=0,"",SUM(AC1:AC65535))</f>
        <v>0</v>
      </c>
      <c r="AF13" s="375">
        <f>IF(SUM(I13:AA13)&gt;0,1,0)</f>
        <v>0</v>
      </c>
      <c r="AG13" s="375">
        <f>IF(COUNT(H17:$AA$14995)=0,"",SUM(AF1:AF65529))</f>
        <v>2</v>
      </c>
    </row>
    <row r="14" spans="4:53" ht="24.75" customHeight="1">
      <c r="D14" s="88"/>
      <c r="E14" s="43"/>
      <c r="F14" s="43"/>
      <c r="G14" s="43"/>
      <c r="H14" s="43"/>
      <c r="I14" s="43"/>
      <c r="J14" s="43"/>
      <c r="K14" s="43"/>
      <c r="L14" s="43"/>
      <c r="M14" s="43"/>
      <c r="N14" s="43"/>
      <c r="O14" s="43"/>
      <c r="P14" s="43"/>
      <c r="Q14" s="43"/>
      <c r="R14" s="43"/>
      <c r="S14" s="43"/>
      <c r="T14" s="43"/>
      <c r="U14" s="43"/>
      <c r="V14" s="43"/>
      <c r="W14" s="43"/>
      <c r="X14" s="43"/>
      <c r="Y14" s="43"/>
      <c r="Z14" s="43"/>
      <c r="AA14" s="43"/>
      <c r="AB14" s="43"/>
      <c r="AC14" s="44"/>
    </row>
    <row r="15" spans="4:53" ht="24.75" customHeight="1">
      <c r="D15" s="195">
        <v>1</v>
      </c>
      <c r="E15" s="407" t="s">
        <v>498</v>
      </c>
      <c r="F15" s="408"/>
      <c r="G15" s="408" t="s">
        <v>719</v>
      </c>
      <c r="H15" s="47" t="s">
        <v>720</v>
      </c>
      <c r="I15" s="47">
        <v>1</v>
      </c>
      <c r="J15" s="47">
        <v>900</v>
      </c>
      <c r="K15" s="47"/>
      <c r="L15" s="47"/>
      <c r="M15" s="406">
        <f>+IFERROR(IF(COUNT(J15:L15),ROUND(SUM(J15:L15),0),""),"")</f>
        <v>900</v>
      </c>
      <c r="N15" s="237">
        <f>+IFERROR(IF(COUNT(M15),ROUND(M15/'Shareholding Pattern'!$L$57*100,2),""),0)</f>
        <v>0.38</v>
      </c>
      <c r="O15" s="207">
        <f>IF(J15="","",J15)</f>
        <v>900</v>
      </c>
      <c r="P15" s="207"/>
      <c r="Q15" s="187">
        <f>+IFERROR(IF(COUNT(O15:P15),ROUND(SUM(O15,P15),2),""),"")</f>
        <v>900</v>
      </c>
      <c r="R15" s="237">
        <f>+IFERROR(IF(COUNT(Q15),ROUND(Q15/('Shareholding Pattern'!$P$58)*100,2),""),0)</f>
        <v>0.38</v>
      </c>
      <c r="S15" s="47"/>
      <c r="T15" s="47"/>
      <c r="U15" s="406" t="str">
        <f>+IFERROR(IF(COUNT(S15:T15),ROUND(SUM(S15:T15),0),""),"")</f>
        <v/>
      </c>
      <c r="V15" s="236">
        <f>+IFERROR(IF(COUNT(M15,U15),ROUND(SUM(U15,M15)/SUM('Shareholding Pattern'!$L$57,'Shareholding Pattern'!$T$57)*100,2),""),0)</f>
        <v>0.38</v>
      </c>
      <c r="W15" s="47"/>
      <c r="X15" s="236" t="str">
        <f>+IFERROR(IF(COUNT(W15),ROUND(SUM(W15)/SUM(M15)*100,2),""),0)</f>
        <v/>
      </c>
      <c r="Y15" s="47"/>
      <c r="Z15" s="236" t="str">
        <f>+IFERROR(IF(COUNT(Y15),ROUND(SUM(Y15)/SUM(M15)*100,2),""),0)</f>
        <v/>
      </c>
      <c r="AA15" s="409">
        <v>900</v>
      </c>
      <c r="AB15" s="284"/>
      <c r="AC15" s="334" t="s">
        <v>520</v>
      </c>
      <c r="AD15" s="290" t="str">
        <f>IF(COUNT(H19:$AA$15001)=0,"",SUM(AC3:AC65537))</f>
        <v/>
      </c>
      <c r="AE15" s="11"/>
      <c r="AF15" s="375">
        <f>IF(SUM(I15:AA15)&gt;0,1,0)</f>
        <v>1</v>
      </c>
    </row>
    <row r="16" spans="4:53" ht="24.75" customHeight="1">
      <c r="D16" s="195">
        <v>2</v>
      </c>
      <c r="E16" s="407" t="s">
        <v>498</v>
      </c>
      <c r="F16" s="408"/>
      <c r="G16" s="408" t="s">
        <v>721</v>
      </c>
      <c r="H16" s="47" t="s">
        <v>722</v>
      </c>
      <c r="I16" s="47">
        <v>1</v>
      </c>
      <c r="J16" s="47">
        <v>22100</v>
      </c>
      <c r="K16" s="47"/>
      <c r="L16" s="47"/>
      <c r="M16" s="406">
        <f>+IFERROR(IF(COUNT(J16:L16),ROUND(SUM(J16:L16),0),""),"")</f>
        <v>22100</v>
      </c>
      <c r="N16" s="237">
        <f>+IFERROR(IF(COUNT(M16),ROUND(M16/'Shareholding Pattern'!$L$57*100,2),""),0)</f>
        <v>9.2100000000000009</v>
      </c>
      <c r="O16" s="207">
        <f>IF(J16="","",J16)</f>
        <v>22100</v>
      </c>
      <c r="P16" s="207"/>
      <c r="Q16" s="187">
        <f>+IFERROR(IF(COUNT(O16:P16),ROUND(SUM(O16,P16),2),""),"")</f>
        <v>22100</v>
      </c>
      <c r="R16" s="237">
        <f>+IFERROR(IF(COUNT(Q16),ROUND(Q16/('Shareholding Pattern'!$P$58)*100,2),""),0)</f>
        <v>9.2100000000000009</v>
      </c>
      <c r="S16" s="47"/>
      <c r="T16" s="47"/>
      <c r="U16" s="406" t="str">
        <f>+IFERROR(IF(COUNT(S16:T16),ROUND(SUM(S16:T16),0),""),"")</f>
        <v/>
      </c>
      <c r="V16" s="236">
        <f>+IFERROR(IF(COUNT(M16,U16),ROUND(SUM(U16,M16)/SUM('Shareholding Pattern'!$L$57,'Shareholding Pattern'!$T$57)*100,2),""),0)</f>
        <v>9.2100000000000009</v>
      </c>
      <c r="W16" s="47"/>
      <c r="X16" s="236" t="str">
        <f>+IFERROR(IF(COUNT(W16),ROUND(SUM(W16)/SUM(M16)*100,2),""),0)</f>
        <v/>
      </c>
      <c r="Y16" s="47"/>
      <c r="Z16" s="236" t="str">
        <f>+IFERROR(IF(COUNT(Y16),ROUND(SUM(Y16)/SUM(M16)*100,2),""),0)</f>
        <v/>
      </c>
      <c r="AA16" s="409">
        <v>22100</v>
      </c>
      <c r="AB16" s="284"/>
      <c r="AC16" s="334" t="s">
        <v>520</v>
      </c>
      <c r="AD16" s="290" t="str">
        <f>IF(COUNT(H20:$AA$15001)=0,"",SUM(AC4:AC65538))</f>
        <v/>
      </c>
      <c r="AE16" s="11"/>
      <c r="AF16" s="375">
        <f>IF(SUM(I16:AA16)&gt;0,1,0)</f>
        <v>1</v>
      </c>
    </row>
    <row r="17" spans="4:27" ht="18.75" hidden="1" customHeight="1">
      <c r="D17" s="45"/>
      <c r="Z17" s="213"/>
    </row>
    <row r="18" spans="4:27" ht="20.100000000000001" customHeight="1">
      <c r="D18" s="59"/>
      <c r="E18" s="214" t="s">
        <v>450</v>
      </c>
      <c r="F18" s="36"/>
      <c r="G18" s="60"/>
      <c r="H18" s="214" t="s">
        <v>19</v>
      </c>
      <c r="I18" s="64">
        <f>+IFERROR(IF(COUNT(I14:I17),ROUND(SUM(I14:I17),0),""),"")</f>
        <v>2</v>
      </c>
      <c r="J18" s="64">
        <f>+IFERROR(IF(COUNT(J14:J17),ROUND(SUM(J14:J17),0),""),"")</f>
        <v>23000</v>
      </c>
      <c r="K18" s="64" t="str">
        <f>+IFERROR(IF(COUNT(K14:K17),ROUND(SUM(K14:K17),0),""),"")</f>
        <v/>
      </c>
      <c r="L18" s="64" t="str">
        <f>+IFERROR(IF(COUNT(L14:L17),ROUND(SUM(L14:L17),0),""),"")</f>
        <v/>
      </c>
      <c r="M18" s="64">
        <f>+IFERROR(IF(COUNT(M14:M17),ROUND(SUM(M14:M17),0),""),"")</f>
        <v>23000</v>
      </c>
      <c r="N18" s="236">
        <f>+IFERROR(IF(COUNT(M18),ROUND(M18/'Shareholding Pattern'!$L$57*100,2),""),0)</f>
        <v>9.58</v>
      </c>
      <c r="O18" s="189">
        <f>+IFERROR(IF(COUNT(O14:O17),ROUND(SUM(O14:O17),0),""),"")</f>
        <v>23000</v>
      </c>
      <c r="P18" s="189" t="str">
        <f>+IFERROR(IF(COUNT(P14:P17),ROUND(SUM(P14:P17),0),""),"")</f>
        <v/>
      </c>
      <c r="Q18" s="189">
        <f>+IFERROR(IF(COUNT(Q14:Q17),ROUND(SUM(Q14:Q17),0),""),"")</f>
        <v>23000</v>
      </c>
      <c r="R18" s="236">
        <f>+IFERROR(IF(COUNT(Q18),ROUND(Q18/('Shareholding Pattern'!$P$58)*100,2),""),0)</f>
        <v>9.58</v>
      </c>
      <c r="S18" s="64" t="str">
        <f>+IFERROR(IF(COUNT(S14:S17),ROUND(SUM(S14:S17),0),""),"")</f>
        <v/>
      </c>
      <c r="T18" s="64" t="str">
        <f>+IFERROR(IF(COUNT(T14:T17),ROUND(SUM(T14:T17),0),""),"")</f>
        <v/>
      </c>
      <c r="U18" s="64" t="str">
        <f>+IFERROR(IF(COUNT(U14:U17),ROUND(SUM(U14:U17),0),""),"")</f>
        <v/>
      </c>
      <c r="V18" s="236">
        <f>+IFERROR(IF(COUNT(M18,U18),ROUND(SUM(U18,M18)/SUM('Shareholding Pattern'!$L$57,'Shareholding Pattern'!$T$57)*100,2),""),0)</f>
        <v>9.58</v>
      </c>
      <c r="W18" s="64" t="str">
        <f>+IFERROR(IF(COUNT(W14:W17),ROUND(SUM(W14:W17),0),""),"")</f>
        <v/>
      </c>
      <c r="X18" s="236" t="str">
        <f>+IFERROR(IF(COUNT(W18),ROUND(SUM(W18)/SUM(M18)*100,2),""),0)</f>
        <v/>
      </c>
      <c r="Y18" s="64" t="str">
        <f>+IFERROR(IF(COUNT(Y14:Y17),ROUND(SUM(Y14:Y17),0),""),"")</f>
        <v/>
      </c>
      <c r="Z18" s="236" t="str">
        <f>+IFERROR(IF(COUNT(Y18),ROUND(SUM(Y18)/SUM(M18)*100,2),""),0)</f>
        <v/>
      </c>
      <c r="AA18" s="64">
        <f>+IFERROR(IF(COUNT(AA14:AA17),ROUND(SUM(AA14:AA17),0),""),"")</f>
        <v>23000</v>
      </c>
    </row>
  </sheetData>
  <sheetProtection password="F884" sheet="1" objects="1" scenarios="1"/>
  <sortState ref="G15:AA20">
    <sortCondition ref="AA15"/>
  </sortState>
  <mergeCells count="23">
    <mergeCell ref="AC9:AC11"/>
    <mergeCell ref="T9:T11"/>
    <mergeCell ref="U9:U11"/>
    <mergeCell ref="O10:Q10"/>
    <mergeCell ref="R10:R11"/>
    <mergeCell ref="S9:S11"/>
    <mergeCell ref="O9:R9"/>
    <mergeCell ref="AB9:AB11"/>
    <mergeCell ref="W9:X10"/>
    <mergeCell ref="Y9:Z10"/>
    <mergeCell ref="AA9:AA11"/>
    <mergeCell ref="V9:V11"/>
    <mergeCell ref="D9:D11"/>
    <mergeCell ref="I9:I11"/>
    <mergeCell ref="E9:E11"/>
    <mergeCell ref="F9:F11"/>
    <mergeCell ref="H9:H11"/>
    <mergeCell ref="G9:G11"/>
    <mergeCell ref="J9:J11"/>
    <mergeCell ref="K9:K11"/>
    <mergeCell ref="L9:L11"/>
    <mergeCell ref="M9:M11"/>
    <mergeCell ref="N9:N11"/>
  </mergeCells>
  <dataValidations count="8">
    <dataValidation type="whole" operator="lessThanOrEqual" allowBlank="1" showInputMessage="1" showErrorMessage="1" sqref="AA13:AB13 AA15:AB16">
      <formula1>M13</formula1>
    </dataValidation>
    <dataValidation type="whole" operator="lessThanOrEqual" allowBlank="1" showInputMessage="1" showErrorMessage="1" sqref="W13 W15:W16">
      <formula1>J13</formula1>
    </dataValidation>
    <dataValidation type="whole" operator="lessThanOrEqual" allowBlank="1" showInputMessage="1" showErrorMessage="1" sqref="Y13 Y15:Y16">
      <formula1>J13</formula1>
    </dataValidation>
    <dataValidation type="textLength" operator="equal" allowBlank="1" showInputMessage="1" showErrorMessage="1" prompt="[A-Z][A-Z][A-Z][A-Z][A-Z][0-9][0-9][0-9][0-9][A-Z]_x000a__x000a_In absence of PAN write : ZZZZZ9999Z" sqref="H13 H15:H16">
      <formula1>10</formula1>
    </dataValidation>
    <dataValidation type="whole" operator="greaterThanOrEqual" allowBlank="1" showInputMessage="1" showErrorMessage="1" sqref="S13:T13 I13:L13 O13:P13 S15:T16 I15:L16 O15:P16">
      <formula1>0</formula1>
    </dataValidation>
    <dataValidation type="list" allowBlank="1" showInputMessage="1" showErrorMessage="1" sqref="E13 E15:E16">
      <formula1>$AR$1:$AR$6</formula1>
    </dataValidation>
    <dataValidation type="list" allowBlank="1" showInputMessage="1" showErrorMessage="1" sqref="F13 F15:F16">
      <formula1>$AV$9:$AV$10</formula1>
    </dataValidation>
    <dataValidation type="list" allowBlank="1" showInputMessage="1" showErrorMessage="1" sqref="AC13 AC15:AC16">
      <formula1>$AZ$2:$BA$2</formula1>
    </dataValidation>
  </dataValidations>
  <hyperlinks>
    <hyperlink ref="H18" location="'Shareholding Pattern'!F17" display="Total"/>
    <hyperlink ref="E18" location="'Shareholding Pattern'!F17" display="Total"/>
  </hyperlinks>
  <pageMargins left="0.7" right="0.7" top="0.75" bottom="0.75" header="0.3" footer="0.3"/>
  <pageSetup orientation="portrait" r:id="rId1"/>
  <drawing r:id="rId2"/>
  <legacyDrawing r:id="rId3"/>
</worksheet>
</file>

<file path=xl/worksheets/sheet12.xml><?xml version="1.0" encoding="utf-8"?>
<worksheet xmlns="http://schemas.openxmlformats.org/spreadsheetml/2006/main" xmlns:r="http://schemas.openxmlformats.org/officeDocument/2006/relationships">
  <sheetPr codeName="Sheet6">
    <tabColor theme="2" tint="-9.9978637043366805E-2"/>
  </sheetPr>
  <dimension ref="B1:XFC16"/>
  <sheetViews>
    <sheetView showGridLines="0" topLeftCell="A6" zoomScale="85" zoomScaleNormal="85" workbookViewId="0">
      <selection activeCell="E19" sqref="E19:AC19"/>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8.7109375" customWidth="1"/>
    <col min="17" max="18" width="14.5703125" hidden="1" customWidth="1"/>
    <col min="19" max="19" width="14.5703125" customWidth="1"/>
    <col min="20" max="20" width="19.140625" customWidth="1"/>
    <col min="21" max="21" width="15.42578125" hidden="1" customWidth="1"/>
    <col min="22" max="22" width="8.5703125" hidden="1" customWidth="1"/>
    <col min="23" max="23" width="15.42578125" hidden="1" customWidth="1"/>
    <col min="24" max="24" width="9.140625" hidden="1" customWidth="1"/>
    <col min="25" max="25" width="15.42578125" customWidth="1"/>
    <col min="26" max="26" width="20.85546875" customWidth="1"/>
    <col min="27" max="27" width="17.140625" customWidth="1"/>
    <col min="28" max="28" width="3.42578125" customWidth="1"/>
    <col min="29" max="16383" width="1.85546875"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7" spans="5:45" ht="15" customHeight="1"/>
    <row r="8" spans="5:45" ht="15" customHeight="1"/>
    <row r="9" spans="5:45" ht="29.25" customHeight="1">
      <c r="E9" s="538" t="s">
        <v>137</v>
      </c>
      <c r="F9" s="521" t="s">
        <v>136</v>
      </c>
      <c r="G9" s="521" t="s">
        <v>1</v>
      </c>
      <c r="H9" s="521" t="s">
        <v>3</v>
      </c>
      <c r="I9" s="521" t="s">
        <v>4</v>
      </c>
      <c r="J9" s="521" t="s">
        <v>5</v>
      </c>
      <c r="K9" s="521" t="s">
        <v>6</v>
      </c>
      <c r="L9" s="521" t="s">
        <v>7</v>
      </c>
      <c r="M9" s="521" t="s">
        <v>8</v>
      </c>
      <c r="N9" s="521"/>
      <c r="O9" s="521"/>
      <c r="P9" s="521"/>
      <c r="Q9" s="521" t="s">
        <v>9</v>
      </c>
      <c r="R9" s="538" t="s">
        <v>505</v>
      </c>
      <c r="S9" s="538" t="s">
        <v>134</v>
      </c>
      <c r="T9" s="521" t="s">
        <v>107</v>
      </c>
      <c r="U9" s="521" t="s">
        <v>12</v>
      </c>
      <c r="V9" s="521"/>
      <c r="W9" s="521" t="s">
        <v>13</v>
      </c>
      <c r="X9" s="521"/>
      <c r="Y9" s="521" t="s">
        <v>14</v>
      </c>
      <c r="Z9" s="473" t="s">
        <v>499</v>
      </c>
      <c r="AA9" s="538" t="s">
        <v>517</v>
      </c>
    </row>
    <row r="10" spans="5:45" ht="31.5" customHeight="1">
      <c r="E10" s="536"/>
      <c r="F10" s="521"/>
      <c r="G10" s="521"/>
      <c r="H10" s="521"/>
      <c r="I10" s="521"/>
      <c r="J10" s="521"/>
      <c r="K10" s="521"/>
      <c r="L10" s="521"/>
      <c r="M10" s="521" t="s">
        <v>15</v>
      </c>
      <c r="N10" s="521"/>
      <c r="O10" s="521"/>
      <c r="P10" s="521" t="s">
        <v>16</v>
      </c>
      <c r="Q10" s="521"/>
      <c r="R10" s="536"/>
      <c r="S10" s="536"/>
      <c r="T10" s="521"/>
      <c r="U10" s="521"/>
      <c r="V10" s="521"/>
      <c r="W10" s="521"/>
      <c r="X10" s="521"/>
      <c r="Y10" s="521"/>
      <c r="Z10" s="521"/>
      <c r="AA10" s="536"/>
    </row>
    <row r="11" spans="5:45" ht="78.75" customHeight="1">
      <c r="E11" s="537"/>
      <c r="F11" s="521"/>
      <c r="G11" s="521"/>
      <c r="H11" s="521"/>
      <c r="I11" s="521"/>
      <c r="J11" s="521"/>
      <c r="K11" s="521"/>
      <c r="L11" s="521"/>
      <c r="M11" s="40" t="s">
        <v>17</v>
      </c>
      <c r="N11" s="40" t="s">
        <v>18</v>
      </c>
      <c r="O11" s="40" t="s">
        <v>19</v>
      </c>
      <c r="P11" s="521"/>
      <c r="Q11" s="521"/>
      <c r="R11" s="537"/>
      <c r="S11" s="537"/>
      <c r="T11" s="521"/>
      <c r="U11" s="40" t="s">
        <v>20</v>
      </c>
      <c r="V11" s="40" t="s">
        <v>21</v>
      </c>
      <c r="W11" s="40" t="s">
        <v>20</v>
      </c>
      <c r="X11" s="40" t="s">
        <v>21</v>
      </c>
      <c r="Y11" s="521"/>
      <c r="Z11" s="521"/>
      <c r="AA11" s="537"/>
    </row>
    <row r="12" spans="5:45" s="5" customFormat="1" ht="33" customHeight="1">
      <c r="E12" s="9" t="s">
        <v>83</v>
      </c>
      <c r="F12" s="279" t="s">
        <v>38</v>
      </c>
      <c r="G12" s="30"/>
      <c r="H12" s="30"/>
      <c r="I12" s="30"/>
      <c r="J12" s="30"/>
      <c r="K12" s="30"/>
      <c r="L12" s="30"/>
      <c r="M12" s="30"/>
      <c r="N12" s="30"/>
      <c r="O12" s="30"/>
      <c r="P12" s="30"/>
      <c r="Q12" s="30"/>
      <c r="R12" s="30"/>
      <c r="S12" s="30"/>
      <c r="T12" s="30"/>
      <c r="U12" s="30"/>
      <c r="V12" s="30"/>
      <c r="W12" s="30"/>
      <c r="X12" s="30"/>
      <c r="Y12" s="30"/>
      <c r="Z12" s="30"/>
      <c r="AA12" s="31"/>
    </row>
    <row r="13" spans="5:45" s="11" customFormat="1" ht="18.75" hidden="1" customHeight="1">
      <c r="E13" s="195"/>
      <c r="F13" s="75"/>
      <c r="G13" s="10"/>
      <c r="H13" s="16"/>
      <c r="I13" s="47"/>
      <c r="J13" s="47"/>
      <c r="K13" s="46" t="str">
        <f>+IFERROR(IF(COUNT(H13:J13),ROUND(SUM(H13:J13),0),""),"")</f>
        <v/>
      </c>
      <c r="L13" s="17" t="str">
        <f>+IFERROR(IF(COUNT(K13),ROUND(K13/'Shareholding Pattern'!$L$57*100,2),""),0)</f>
        <v/>
      </c>
      <c r="M13" s="277" t="str">
        <f>IF(H13="","",H13)</f>
        <v/>
      </c>
      <c r="N13" s="207"/>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2"/>
      <c r="AA13" s="333"/>
      <c r="AC13" s="11">
        <f>IF(SUM(H13:Y13)&gt;0,1,0)</f>
        <v>0</v>
      </c>
      <c r="AD13" s="11" t="str">
        <f>IF(COUNT(H15:$Y$15000)=0,"",SUM(AC1:AC65533))</f>
        <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row>
    <row r="15" spans="5:45" ht="24.95" hidden="1" customHeight="1">
      <c r="E15" s="12"/>
      <c r="F15" s="13"/>
      <c r="G15" s="13"/>
      <c r="H15" s="13"/>
      <c r="I15" s="13"/>
      <c r="J15" s="13"/>
      <c r="K15" s="13"/>
      <c r="L15" s="13"/>
      <c r="M15" s="13"/>
      <c r="N15" s="13"/>
      <c r="O15" s="13"/>
      <c r="P15" s="13"/>
      <c r="Q15" s="13"/>
      <c r="R15" s="13"/>
      <c r="S15" s="13"/>
      <c r="T15" s="13"/>
      <c r="U15" s="13"/>
      <c r="V15" s="13"/>
      <c r="W15" s="13"/>
      <c r="X15" s="13"/>
      <c r="Y15" s="198"/>
    </row>
    <row r="16" spans="5:45"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Pattern'!$L$57*100,2),""),0)</f>
        <v/>
      </c>
      <c r="M16" s="35" t="str">
        <f>+IFERROR(IF(COUNT(M14:M15),ROUND(SUM(M14:M15),0),""),"")</f>
        <v/>
      </c>
      <c r="N16" s="35" t="str">
        <f>+IFERROR(IF(COUNT(N14:N15),ROUND(SUM(N14:N15),0),""),"")</f>
        <v/>
      </c>
      <c r="O16" s="35" t="str">
        <f>+IFERROR(IF(COUNT(O14:O15),ROUND(SUM(O14:O15),0),""),"")</f>
        <v/>
      </c>
      <c r="P16" s="17" t="str">
        <f>+IFERROR(IF(COUNT(O16),ROUND(O16/('Shareholding Pattern'!$P$58)*100,2),""),0)</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password="F884" sheet="1" objects="1" scenarios="1"/>
  <mergeCells count="20">
    <mergeCell ref="AA9:AA11"/>
    <mergeCell ref="U9:V10"/>
    <mergeCell ref="Z9:Z11"/>
    <mergeCell ref="W9:X10"/>
    <mergeCell ref="Y9:Y11"/>
    <mergeCell ref="J9:J11"/>
    <mergeCell ref="K9:K11"/>
    <mergeCell ref="L9:L11"/>
    <mergeCell ref="M9:P9"/>
    <mergeCell ref="Q9:Q11"/>
    <mergeCell ref="T9:T11"/>
    <mergeCell ref="S9:S11"/>
    <mergeCell ref="M10:O10"/>
    <mergeCell ref="P10:P11"/>
    <mergeCell ref="R9:R11"/>
    <mergeCell ref="E9:E11"/>
    <mergeCell ref="F9:F11"/>
    <mergeCell ref="G9:G11"/>
    <mergeCell ref="H9:H11"/>
    <mergeCell ref="I9:I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list" allowBlank="1" showInputMessage="1" showErrorMessage="1" sqref="AA13">
      <formula1>$AR$2:$AS$2</formula1>
    </dataValidation>
  </dataValidations>
  <hyperlinks>
    <hyperlink ref="G16" location="'Shareholding Pattern'!F20" display="Total"/>
    <hyperlink ref="F16" location="'Shareholding Pattern'!F20" display="Total"/>
  </hyperlink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sheetPr codeName="Sheet7">
    <tabColor theme="2" tint="-9.9978637043366805E-2"/>
  </sheetPr>
  <dimension ref="A1:AS23"/>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8.5703125" customWidth="1"/>
    <col min="17" max="18" width="14.5703125" hidden="1" customWidth="1"/>
    <col min="19" max="19" width="14.5703125" customWidth="1"/>
    <col min="20" max="20" width="19.140625" customWidth="1"/>
    <col min="21" max="21" width="15.42578125" hidden="1" customWidth="1"/>
    <col min="22" max="22" width="7.42578125" hidden="1" customWidth="1"/>
    <col min="23" max="23" width="15.42578125" hidden="1" customWidth="1"/>
    <col min="24" max="24" width="7.28515625" hidden="1" customWidth="1"/>
    <col min="25" max="25" width="15.42578125" customWidth="1"/>
    <col min="26" max="26" width="18.42578125" customWidth="1"/>
    <col min="27" max="27" width="17.140625" customWidth="1"/>
    <col min="28" max="28" width="2.5703125" customWidth="1"/>
    <col min="29" max="16384" width="2"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9" spans="5:45" ht="29.25" customHeight="1">
      <c r="E9" s="538" t="s">
        <v>137</v>
      </c>
      <c r="F9" s="521" t="s">
        <v>136</v>
      </c>
      <c r="G9" s="521" t="s">
        <v>1</v>
      </c>
      <c r="H9" s="521" t="s">
        <v>3</v>
      </c>
      <c r="I9" s="521" t="s">
        <v>4</v>
      </c>
      <c r="J9" s="521" t="s">
        <v>5</v>
      </c>
      <c r="K9" s="521" t="s">
        <v>6</v>
      </c>
      <c r="L9" s="521" t="s">
        <v>7</v>
      </c>
      <c r="M9" s="521" t="s">
        <v>8</v>
      </c>
      <c r="N9" s="521"/>
      <c r="O9" s="521"/>
      <c r="P9" s="521"/>
      <c r="Q9" s="521" t="s">
        <v>9</v>
      </c>
      <c r="R9" s="538" t="s">
        <v>505</v>
      </c>
      <c r="S9" s="538" t="s">
        <v>134</v>
      </c>
      <c r="T9" s="521" t="s">
        <v>107</v>
      </c>
      <c r="U9" s="521" t="s">
        <v>12</v>
      </c>
      <c r="V9" s="521"/>
      <c r="W9" s="521" t="s">
        <v>13</v>
      </c>
      <c r="X9" s="521"/>
      <c r="Y9" s="521" t="s">
        <v>14</v>
      </c>
      <c r="Z9" s="473" t="s">
        <v>499</v>
      </c>
      <c r="AA9" s="538" t="s">
        <v>517</v>
      </c>
    </row>
    <row r="10" spans="5:45" ht="31.5" customHeight="1">
      <c r="E10" s="536"/>
      <c r="F10" s="521"/>
      <c r="G10" s="521"/>
      <c r="H10" s="521"/>
      <c r="I10" s="521"/>
      <c r="J10" s="521"/>
      <c r="K10" s="521"/>
      <c r="L10" s="521"/>
      <c r="M10" s="521" t="s">
        <v>15</v>
      </c>
      <c r="N10" s="521"/>
      <c r="O10" s="521"/>
      <c r="P10" s="521" t="s">
        <v>16</v>
      </c>
      <c r="Q10" s="521"/>
      <c r="R10" s="536"/>
      <c r="S10" s="536"/>
      <c r="T10" s="521"/>
      <c r="U10" s="521"/>
      <c r="V10" s="521"/>
      <c r="W10" s="521"/>
      <c r="X10" s="521"/>
      <c r="Y10" s="521"/>
      <c r="Z10" s="521"/>
      <c r="AA10" s="536"/>
    </row>
    <row r="11" spans="5:45" ht="78.75" customHeight="1">
      <c r="E11" s="537"/>
      <c r="F11" s="521"/>
      <c r="G11" s="521"/>
      <c r="H11" s="521"/>
      <c r="I11" s="521"/>
      <c r="J11" s="521"/>
      <c r="K11" s="521"/>
      <c r="L11" s="521"/>
      <c r="M11" s="40" t="s">
        <v>17</v>
      </c>
      <c r="N11" s="40" t="s">
        <v>18</v>
      </c>
      <c r="O11" s="40" t="s">
        <v>19</v>
      </c>
      <c r="P11" s="521"/>
      <c r="Q11" s="521"/>
      <c r="R11" s="537"/>
      <c r="S11" s="537"/>
      <c r="T11" s="521"/>
      <c r="U11" s="40" t="s">
        <v>20</v>
      </c>
      <c r="V11" s="40" t="s">
        <v>21</v>
      </c>
      <c r="W11" s="40" t="s">
        <v>20</v>
      </c>
      <c r="X11" s="40" t="s">
        <v>21</v>
      </c>
      <c r="Y11" s="521"/>
      <c r="Z11" s="521"/>
      <c r="AA11" s="537"/>
    </row>
    <row r="12" spans="5:45" ht="21" customHeight="1">
      <c r="E12" s="9" t="s">
        <v>83</v>
      </c>
      <c r="F12" s="279" t="s">
        <v>39</v>
      </c>
      <c r="G12" s="30"/>
      <c r="H12" s="30"/>
      <c r="I12" s="30"/>
      <c r="J12" s="30"/>
      <c r="K12" s="30"/>
      <c r="L12" s="30"/>
      <c r="M12" s="30"/>
      <c r="N12" s="30"/>
      <c r="O12" s="30"/>
      <c r="P12" s="30"/>
      <c r="Q12" s="30"/>
      <c r="R12" s="30"/>
      <c r="S12" s="30"/>
      <c r="T12" s="30"/>
      <c r="U12" s="30"/>
      <c r="V12" s="30"/>
      <c r="W12" s="30"/>
      <c r="X12" s="30"/>
      <c r="Y12" s="30"/>
      <c r="Z12" s="30"/>
      <c r="AA12" s="31"/>
    </row>
    <row r="13" spans="5:45" s="11" customFormat="1" ht="20.100000000000001" hidden="1" customHeight="1">
      <c r="E13" s="195"/>
      <c r="F13" s="75"/>
      <c r="G13" s="10"/>
      <c r="H13" s="16"/>
      <c r="I13" s="47"/>
      <c r="J13" s="47"/>
      <c r="K13" s="46" t="str">
        <f>+IFERROR(IF(COUNT(H13:J13),ROUND(SUM(H13:J13),0),""),"")</f>
        <v/>
      </c>
      <c r="L13" s="17" t="str">
        <f>+IFERROR(IF(COUNT(K13),ROUND(K13/'Shareholding Pattern'!$L$57*100,2),""),0)</f>
        <v/>
      </c>
      <c r="M13" s="277" t="str">
        <f>IF(H13="","",H13)</f>
        <v/>
      </c>
      <c r="N13" s="207"/>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2"/>
      <c r="AA13" s="333"/>
      <c r="AC13" s="11">
        <f>IF(SUM(H13:I13)&gt;0,1,0)</f>
        <v>0</v>
      </c>
      <c r="AD13" s="11" t="str">
        <f>IF(COUNT(H15:$Y$15000)=0,"",SUM(AC1:AC65533))</f>
        <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row>
    <row r="15" spans="5:45" ht="15.75" hidden="1" customHeight="1">
      <c r="E15" s="12"/>
      <c r="F15" s="13"/>
      <c r="G15" s="13"/>
      <c r="H15" s="13"/>
      <c r="I15" s="13"/>
      <c r="J15" s="13"/>
      <c r="K15" s="13"/>
      <c r="L15" s="13"/>
      <c r="M15" s="13"/>
      <c r="N15" s="13"/>
      <c r="O15" s="13"/>
      <c r="P15" s="13"/>
      <c r="Q15" s="13"/>
      <c r="R15" s="13"/>
      <c r="S15" s="13"/>
      <c r="T15" s="13"/>
      <c r="U15" s="13"/>
      <c r="V15" s="13"/>
      <c r="W15" s="13"/>
      <c r="X15" s="13"/>
      <c r="Y15" s="198"/>
    </row>
    <row r="16" spans="5:45"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Pattern'!$L$57*100,2),""),0)</f>
        <v/>
      </c>
      <c r="M16" s="35" t="str">
        <f>+IFERROR(IF(COUNT(M14:M15),ROUND(SUM(M14:M15),0),""),"")</f>
        <v/>
      </c>
      <c r="N16" s="35" t="str">
        <f>+IFERROR(IF(COUNT(N14:N15),ROUND(SUM(N14:N15),0),""),"")</f>
        <v/>
      </c>
      <c r="O16" s="35" t="str">
        <f>+IFERROR(IF(COUNT(O14:O15),ROUND(SUM(O14:O15),0),""),"")</f>
        <v/>
      </c>
      <c r="P16" s="17" t="str">
        <f>+IFERROR(IF(COUNT(O16),ROUND(O16/('Shareholding Pattern'!$P$58)*100,2),""),0)</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row r="23" spans="9:9">
      <c r="I23" t="s">
        <v>440</v>
      </c>
    </row>
  </sheetData>
  <sheetProtection password="F884" sheet="1" objects="1" scenarios="1"/>
  <mergeCells count="20">
    <mergeCell ref="AA9:AA11"/>
    <mergeCell ref="U9:V10"/>
    <mergeCell ref="Z9:Z11"/>
    <mergeCell ref="W9:X10"/>
    <mergeCell ref="Y9:Y11"/>
    <mergeCell ref="J9:J11"/>
    <mergeCell ref="K9:K11"/>
    <mergeCell ref="L9:L11"/>
    <mergeCell ref="M9:P9"/>
    <mergeCell ref="Q9:Q11"/>
    <mergeCell ref="T9:T11"/>
    <mergeCell ref="S9:S11"/>
    <mergeCell ref="M10:O10"/>
    <mergeCell ref="P10:P11"/>
    <mergeCell ref="R9:R11"/>
    <mergeCell ref="E9:E11"/>
    <mergeCell ref="F9:F11"/>
    <mergeCell ref="G9:G11"/>
    <mergeCell ref="H9:H11"/>
    <mergeCell ref="I9:I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H13:J13 M13:N13">
      <formula1>0</formula1>
    </dataValidation>
    <dataValidation type="list" allowBlank="1" showInputMessage="1" showErrorMessage="1" sqref="AA13">
      <formula1>$AR$2:$AS$2</formula1>
    </dataValidation>
  </dataValidations>
  <hyperlinks>
    <hyperlink ref="G16" location="'Shareholding Pattern'!F21" display="Total"/>
    <hyperlink ref="F16" location="'Shareholding Pattern'!F21" display="Total"/>
  </hyperlinks>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sheetPr codeName="Sheet8">
    <tabColor theme="2" tint="-9.9978637043366805E-2"/>
  </sheetPr>
  <dimension ref="A1:AS16"/>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8.42578125" customWidth="1"/>
    <col min="17" max="18" width="14.5703125" hidden="1" customWidth="1"/>
    <col min="19" max="19" width="14.5703125" customWidth="1"/>
    <col min="20" max="20" width="19.140625" customWidth="1"/>
    <col min="21" max="21" width="15.42578125" hidden="1" customWidth="1"/>
    <col min="22" max="22" width="8.42578125" hidden="1" customWidth="1"/>
    <col min="23" max="23" width="15.42578125" hidden="1" customWidth="1"/>
    <col min="24" max="24" width="7.5703125" hidden="1" customWidth="1"/>
    <col min="25" max="25" width="15.42578125" customWidth="1"/>
    <col min="26" max="26" width="17.5703125" customWidth="1"/>
    <col min="27" max="27" width="17.140625" customWidth="1"/>
    <col min="28" max="28" width="3.28515625" customWidth="1"/>
    <col min="29" max="16384" width="1.42578125"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7" spans="5:45" ht="15" customHeight="1">
      <c r="AR7" t="s">
        <v>393</v>
      </c>
    </row>
    <row r="8" spans="5:45" ht="15" customHeight="1">
      <c r="AR8" t="s">
        <v>395</v>
      </c>
    </row>
    <row r="9" spans="5:45" ht="29.25" customHeight="1">
      <c r="E9" s="538" t="s">
        <v>137</v>
      </c>
      <c r="F9" s="521" t="s">
        <v>136</v>
      </c>
      <c r="G9" s="521" t="s">
        <v>1</v>
      </c>
      <c r="H9" s="521" t="s">
        <v>3</v>
      </c>
      <c r="I9" s="521" t="s">
        <v>4</v>
      </c>
      <c r="J9" s="521" t="s">
        <v>5</v>
      </c>
      <c r="K9" s="521" t="s">
        <v>6</v>
      </c>
      <c r="L9" s="521" t="s">
        <v>7</v>
      </c>
      <c r="M9" s="521" t="s">
        <v>8</v>
      </c>
      <c r="N9" s="521"/>
      <c r="O9" s="521"/>
      <c r="P9" s="521"/>
      <c r="Q9" s="521" t="s">
        <v>9</v>
      </c>
      <c r="R9" s="538" t="s">
        <v>505</v>
      </c>
      <c r="S9" s="538" t="s">
        <v>134</v>
      </c>
      <c r="T9" s="521" t="s">
        <v>107</v>
      </c>
      <c r="U9" s="521" t="s">
        <v>12</v>
      </c>
      <c r="V9" s="521"/>
      <c r="W9" s="521" t="s">
        <v>13</v>
      </c>
      <c r="X9" s="521"/>
      <c r="Y9" s="521" t="s">
        <v>14</v>
      </c>
      <c r="Z9" s="473" t="s">
        <v>499</v>
      </c>
      <c r="AA9" s="538" t="s">
        <v>517</v>
      </c>
      <c r="AR9" t="s">
        <v>396</v>
      </c>
    </row>
    <row r="10" spans="5:45" ht="31.5" customHeight="1">
      <c r="E10" s="536"/>
      <c r="F10" s="521"/>
      <c r="G10" s="521"/>
      <c r="H10" s="521"/>
      <c r="I10" s="521"/>
      <c r="J10" s="521"/>
      <c r="K10" s="521"/>
      <c r="L10" s="521"/>
      <c r="M10" s="521" t="s">
        <v>15</v>
      </c>
      <c r="N10" s="521"/>
      <c r="O10" s="521"/>
      <c r="P10" s="521" t="s">
        <v>16</v>
      </c>
      <c r="Q10" s="521"/>
      <c r="R10" s="536"/>
      <c r="S10" s="536"/>
      <c r="T10" s="521"/>
      <c r="U10" s="521"/>
      <c r="V10" s="521"/>
      <c r="W10" s="521"/>
      <c r="X10" s="521"/>
      <c r="Y10" s="521"/>
      <c r="Z10" s="521"/>
      <c r="AA10" s="536"/>
      <c r="AR10" t="s">
        <v>397</v>
      </c>
    </row>
    <row r="11" spans="5:45" ht="78.75" customHeight="1">
      <c r="E11" s="537"/>
      <c r="F11" s="521"/>
      <c r="G11" s="521"/>
      <c r="H11" s="521"/>
      <c r="I11" s="521"/>
      <c r="J11" s="521"/>
      <c r="K11" s="521"/>
      <c r="L11" s="521"/>
      <c r="M11" s="40" t="s">
        <v>17</v>
      </c>
      <c r="N11" s="40" t="s">
        <v>18</v>
      </c>
      <c r="O11" s="40" t="s">
        <v>19</v>
      </c>
      <c r="P11" s="521"/>
      <c r="Q11" s="521"/>
      <c r="R11" s="537"/>
      <c r="S11" s="537"/>
      <c r="T11" s="521"/>
      <c r="U11" s="40" t="s">
        <v>20</v>
      </c>
      <c r="V11" s="40" t="s">
        <v>21</v>
      </c>
      <c r="W11" s="40" t="s">
        <v>20</v>
      </c>
      <c r="X11" s="40" t="s">
        <v>21</v>
      </c>
      <c r="Y11" s="521"/>
      <c r="Z11" s="521"/>
      <c r="AA11" s="537"/>
      <c r="AR11" t="s">
        <v>402</v>
      </c>
    </row>
    <row r="12" spans="5:45" ht="21.75" customHeight="1">
      <c r="E12" s="9" t="s">
        <v>84</v>
      </c>
      <c r="F12" s="279" t="s">
        <v>40</v>
      </c>
      <c r="G12" s="30"/>
      <c r="H12" s="30"/>
      <c r="I12" s="30"/>
      <c r="J12" s="30"/>
      <c r="K12" s="30"/>
      <c r="L12" s="30"/>
      <c r="M12" s="30"/>
      <c r="N12" s="30"/>
      <c r="O12" s="30"/>
      <c r="P12" s="30"/>
      <c r="Q12" s="30"/>
      <c r="R12" s="30"/>
      <c r="S12" s="30"/>
      <c r="T12" s="30"/>
      <c r="U12" s="30"/>
      <c r="V12" s="30"/>
      <c r="W12" s="30"/>
      <c r="X12" s="30"/>
      <c r="Y12" s="30"/>
      <c r="Z12" s="30"/>
      <c r="AA12" s="31"/>
      <c r="AR12" t="s">
        <v>398</v>
      </c>
    </row>
    <row r="13" spans="5:45" s="11" customFormat="1" ht="20.100000000000001" hidden="1" customHeight="1">
      <c r="E13" s="195"/>
      <c r="F13" s="75"/>
      <c r="G13" s="10"/>
      <c r="H13" s="16"/>
      <c r="I13" s="47"/>
      <c r="J13" s="47"/>
      <c r="K13" s="46" t="str">
        <f>+IFERROR(IF(COUNT(H13:J13),ROUND(SUM(H13:J13),0),""),"")</f>
        <v/>
      </c>
      <c r="L13" s="17" t="str">
        <f>+IFERROR(IF(COUNT(K13),ROUND(K13/'Shareholding Pattern'!$L$57*100,2),""),0)</f>
        <v/>
      </c>
      <c r="M13" s="277" t="str">
        <f>IF(H13="","",H13)</f>
        <v/>
      </c>
      <c r="N13" s="207"/>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2"/>
      <c r="AA13" s="333"/>
      <c r="AC13" s="11">
        <f>IF(SUM(H13:Y13)&gt;0,1,0)</f>
        <v>0</v>
      </c>
      <c r="AD13" s="11" t="str">
        <f>IF(COUNT(H15:$Y$15000)=0,"",SUM(AC1:AC65533))</f>
        <v/>
      </c>
      <c r="AR13" s="11" t="s">
        <v>399</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400</v>
      </c>
    </row>
    <row r="15" spans="5:45" ht="15.75" hidden="1" customHeight="1">
      <c r="E15" s="12"/>
      <c r="F15" s="13"/>
      <c r="G15" s="13"/>
      <c r="H15" s="43"/>
      <c r="I15" s="13"/>
      <c r="J15" s="13"/>
      <c r="K15" s="13"/>
      <c r="L15" s="13"/>
      <c r="M15" s="13"/>
      <c r="N15" s="13"/>
      <c r="O15" s="13"/>
      <c r="P15" s="13"/>
      <c r="Q15" s="13"/>
      <c r="R15" s="13"/>
      <c r="S15" s="13"/>
      <c r="T15" s="13"/>
      <c r="U15" s="13"/>
      <c r="V15" s="13"/>
      <c r="W15" s="13"/>
      <c r="X15" s="13"/>
      <c r="Y15" s="198"/>
    </row>
    <row r="16" spans="5:45" ht="20.100000000000001" customHeight="1">
      <c r="E16" s="59"/>
      <c r="F16" s="127" t="s">
        <v>450</v>
      </c>
      <c r="G16" s="127" t="s">
        <v>19</v>
      </c>
      <c r="H16" s="1" t="str">
        <f>+IFERROR(IF(COUNT(H14:H15),ROUND(SUM(H14:H15),0),""),"")</f>
        <v/>
      </c>
      <c r="I16" s="1" t="str">
        <f>+IFERROR(IF(COUNT(I14:I15),ROUND(SUM(I14:I15),0),""),"")</f>
        <v/>
      </c>
      <c r="J16" s="1" t="str">
        <f>+IFERROR(IF(COUNT(J14:J15),ROUND(SUM(J14:J15),0),""),"")</f>
        <v/>
      </c>
      <c r="K16" s="1" t="str">
        <f>+IFERROR(IF(COUNT(K14:K15),ROUND(SUM(K14:K15),0),""),"")</f>
        <v/>
      </c>
      <c r="L16" s="17" t="str">
        <f>+IFERROR(IF(COUNT(K16),ROUND(K16/'Shareholding Pattern'!$L$57*100,2),""),0)</f>
        <v/>
      </c>
      <c r="M16" s="34" t="str">
        <f>+IFERROR(IF(COUNT(M14:M15),ROUND(SUM(M14:M15),0),""),"")</f>
        <v/>
      </c>
      <c r="N16" s="34" t="str">
        <f>+IFERROR(IF(COUNT(N14:N15),ROUND(SUM(N14:N15),0),""),"")</f>
        <v/>
      </c>
      <c r="O16" s="34" t="str">
        <f>+IFERROR(IF(COUNT(O14:O15),ROUND(SUM(O14:O15),0),""),"")</f>
        <v/>
      </c>
      <c r="P16" s="17" t="str">
        <f>+IFERROR(IF(COUNT(O16),ROUND(O16/('Shareholding Pattern'!$P$58)*100,2),""),0)</f>
        <v/>
      </c>
      <c r="Q16" s="1" t="str">
        <f>+IFERROR(IF(COUNT(Q14:Q15),ROUND(SUM(Q14:Q15),0),""),"")</f>
        <v/>
      </c>
      <c r="R16" s="1" t="str">
        <f>+IFERROR(IF(COUNT(R14:R15),ROUND(SUM(R14:R15),0),""),"")</f>
        <v/>
      </c>
      <c r="S16" s="1" t="str">
        <f>+IFERROR(IF(COUNT(S14:S15),ROUND(SUM(S14:S15),0),""),"")</f>
        <v/>
      </c>
      <c r="T16" s="17" t="str">
        <f>+IFERROR(IF(COUNT(K16,S16),ROUND(SUM(S16,K16)/SUM('Shareholding Pattern'!$L$57,'Shareholding Pattern'!$T$57)*100,2),""),0)</f>
        <v/>
      </c>
      <c r="U16" s="1" t="str">
        <f>+IFERROR(IF(COUNT(U14:U15),ROUND(SUM(U14:U15),0),""),"")</f>
        <v/>
      </c>
      <c r="V16" s="17" t="str">
        <f>+IFERROR(IF(COUNT(U16),ROUND(SUM(U16)/SUM(K16)*100,2),""),0)</f>
        <v/>
      </c>
      <c r="W16" s="1" t="str">
        <f>+IFERROR(IF(COUNT(W14:W15),ROUND(SUM(W14:W15),0),""),"")</f>
        <v/>
      </c>
      <c r="X16" s="17" t="str">
        <f>+IFERROR(IF(COUNT(W16),ROUND(SUM(W16)/SUM(K16)*100,2),""),0)</f>
        <v/>
      </c>
      <c r="Y16" s="1" t="str">
        <f>+IFERROR(IF(COUNT(Y14:Y15),ROUND(SUM(Y14:Y15),0),""),"")</f>
        <v/>
      </c>
    </row>
  </sheetData>
  <sheetProtection password="F884" sheet="1" objects="1" scenarios="1"/>
  <mergeCells count="20">
    <mergeCell ref="K9:K11"/>
    <mergeCell ref="L9:L11"/>
    <mergeCell ref="M9:P9"/>
    <mergeCell ref="Q9:Q11"/>
    <mergeCell ref="AA9:AA11"/>
    <mergeCell ref="Z9:Z11"/>
    <mergeCell ref="E9:E11"/>
    <mergeCell ref="U9:V10"/>
    <mergeCell ref="W9:X10"/>
    <mergeCell ref="Y9:Y11"/>
    <mergeCell ref="F9:F11"/>
    <mergeCell ref="G9:G11"/>
    <mergeCell ref="H9:H11"/>
    <mergeCell ref="I9:I11"/>
    <mergeCell ref="T9:T11"/>
    <mergeCell ref="S9:S11"/>
    <mergeCell ref="M10:O10"/>
    <mergeCell ref="P10:P11"/>
    <mergeCell ref="R9:R11"/>
    <mergeCell ref="J9:J11"/>
  </mergeCells>
  <dataValidations count="6">
    <dataValidation type="whole" operator="lessThanOrEqual" allowBlank="1" showInputMessage="1" showErrorMessage="1" sqref="Y13">
      <formula1>K13</formula1>
    </dataValidation>
    <dataValidation type="whole" operator="lessThanOrEqual" allowBlank="1" showInputMessage="1" showErrorMessage="1" sqref="U13">
      <formula1>H13</formula1>
    </dataValidation>
    <dataValidation type="whole" operator="lessThanOrEqual" allowBlank="1" showInputMessage="1" showErrorMessage="1" sqref="W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list" allowBlank="1" showInputMessage="1" showErrorMessage="1" sqref="AA13">
      <formula1>$AR$2:$AS$2</formula1>
    </dataValidation>
  </dataValidations>
  <hyperlinks>
    <hyperlink ref="G16" location="'Shareholding Pattern'!F22" display="Total"/>
    <hyperlink ref="F16" location="'Shareholding Pattern'!F22" display="Total"/>
  </hyperlink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sheetPr codeName="Sheet9">
    <tabColor theme="2" tint="-9.9978637043366805E-2"/>
  </sheetPr>
  <dimension ref="A1:AS16"/>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8.5703125" customWidth="1"/>
    <col min="17" max="18" width="14.5703125" hidden="1" customWidth="1"/>
    <col min="19" max="19" width="14.5703125" customWidth="1"/>
    <col min="20" max="20" width="19.140625" customWidth="1"/>
    <col min="21" max="21" width="15.42578125" hidden="1" customWidth="1"/>
    <col min="22" max="22" width="8.7109375" hidden="1" customWidth="1"/>
    <col min="23" max="23" width="15.42578125" hidden="1" customWidth="1"/>
    <col min="24" max="24" width="8.5703125" hidden="1" customWidth="1"/>
    <col min="25" max="25" width="15.42578125" customWidth="1"/>
    <col min="26" max="26" width="16.5703125" customWidth="1"/>
    <col min="27" max="27" width="17.140625" customWidth="1"/>
    <col min="28" max="28" width="4.7109375" customWidth="1"/>
    <col min="29" max="16384" width="2.42578125"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7" spans="5:45" ht="15" customHeight="1">
      <c r="AR7" t="s">
        <v>393</v>
      </c>
    </row>
    <row r="8" spans="5:45" ht="15" customHeight="1">
      <c r="AR8" t="s">
        <v>395</v>
      </c>
    </row>
    <row r="9" spans="5:45" ht="29.25" customHeight="1">
      <c r="E9" s="538" t="s">
        <v>137</v>
      </c>
      <c r="F9" s="521" t="s">
        <v>136</v>
      </c>
      <c r="G9" s="521" t="s">
        <v>1</v>
      </c>
      <c r="H9" s="521" t="s">
        <v>3</v>
      </c>
      <c r="I9" s="521" t="s">
        <v>4</v>
      </c>
      <c r="J9" s="521" t="s">
        <v>5</v>
      </c>
      <c r="K9" s="521" t="s">
        <v>6</v>
      </c>
      <c r="L9" s="521" t="s">
        <v>7</v>
      </c>
      <c r="M9" s="521" t="s">
        <v>8</v>
      </c>
      <c r="N9" s="521"/>
      <c r="O9" s="521"/>
      <c r="P9" s="521"/>
      <c r="Q9" s="521" t="s">
        <v>9</v>
      </c>
      <c r="R9" s="538" t="s">
        <v>505</v>
      </c>
      <c r="S9" s="538" t="s">
        <v>134</v>
      </c>
      <c r="T9" s="521" t="s">
        <v>107</v>
      </c>
      <c r="U9" s="521" t="s">
        <v>12</v>
      </c>
      <c r="V9" s="521"/>
      <c r="W9" s="521" t="s">
        <v>13</v>
      </c>
      <c r="X9" s="521"/>
      <c r="Y9" s="521" t="s">
        <v>14</v>
      </c>
      <c r="Z9" s="473" t="s">
        <v>499</v>
      </c>
      <c r="AA9" s="538" t="s">
        <v>517</v>
      </c>
      <c r="AR9" t="s">
        <v>396</v>
      </c>
    </row>
    <row r="10" spans="5:45" ht="31.5" customHeight="1">
      <c r="E10" s="536"/>
      <c r="F10" s="521"/>
      <c r="G10" s="521"/>
      <c r="H10" s="521"/>
      <c r="I10" s="521"/>
      <c r="J10" s="521"/>
      <c r="K10" s="521"/>
      <c r="L10" s="521"/>
      <c r="M10" s="521" t="s">
        <v>15</v>
      </c>
      <c r="N10" s="521"/>
      <c r="O10" s="521"/>
      <c r="P10" s="521" t="s">
        <v>16</v>
      </c>
      <c r="Q10" s="521"/>
      <c r="R10" s="536"/>
      <c r="S10" s="536"/>
      <c r="T10" s="521"/>
      <c r="U10" s="521"/>
      <c r="V10" s="521"/>
      <c r="W10" s="521"/>
      <c r="X10" s="521"/>
      <c r="Y10" s="521"/>
      <c r="Z10" s="521"/>
      <c r="AA10" s="536"/>
      <c r="AR10" t="s">
        <v>397</v>
      </c>
    </row>
    <row r="11" spans="5:45" ht="78.75" customHeight="1">
      <c r="E11" s="537"/>
      <c r="F11" s="521"/>
      <c r="G11" s="521"/>
      <c r="H11" s="521"/>
      <c r="I11" s="521"/>
      <c r="J11" s="521"/>
      <c r="K11" s="521"/>
      <c r="L11" s="521"/>
      <c r="M11" s="40" t="s">
        <v>17</v>
      </c>
      <c r="N11" s="40" t="s">
        <v>18</v>
      </c>
      <c r="O11" s="40" t="s">
        <v>19</v>
      </c>
      <c r="P11" s="521"/>
      <c r="Q11" s="521"/>
      <c r="R11" s="537"/>
      <c r="S11" s="537"/>
      <c r="T11" s="521"/>
      <c r="U11" s="40" t="s">
        <v>20</v>
      </c>
      <c r="V11" s="40" t="s">
        <v>21</v>
      </c>
      <c r="W11" s="40" t="s">
        <v>20</v>
      </c>
      <c r="X11" s="40" t="s">
        <v>21</v>
      </c>
      <c r="Y11" s="521"/>
      <c r="Z11" s="521"/>
      <c r="AA11" s="537"/>
      <c r="AR11" t="s">
        <v>402</v>
      </c>
    </row>
    <row r="12" spans="5:45" ht="21.75" customHeight="1">
      <c r="E12" s="9" t="s">
        <v>85</v>
      </c>
      <c r="F12" s="279" t="s">
        <v>41</v>
      </c>
      <c r="G12" s="30"/>
      <c r="H12" s="30"/>
      <c r="I12" s="30"/>
      <c r="J12" s="30"/>
      <c r="K12" s="30"/>
      <c r="L12" s="30"/>
      <c r="M12" s="30"/>
      <c r="N12" s="30"/>
      <c r="O12" s="30"/>
      <c r="P12" s="30"/>
      <c r="Q12" s="30"/>
      <c r="R12" s="30"/>
      <c r="S12" s="30"/>
      <c r="T12" s="30"/>
      <c r="U12" s="30"/>
      <c r="V12" s="30"/>
      <c r="W12" s="30"/>
      <c r="X12" s="30"/>
      <c r="Y12" s="30"/>
      <c r="Z12" s="30"/>
      <c r="AA12" s="31"/>
      <c r="AR12" t="s">
        <v>398</v>
      </c>
    </row>
    <row r="13" spans="5:45" s="11" customFormat="1" ht="20.100000000000001" hidden="1" customHeight="1">
      <c r="E13" s="195"/>
      <c r="F13" s="75"/>
      <c r="G13" s="10"/>
      <c r="H13" s="16"/>
      <c r="I13" s="47"/>
      <c r="J13" s="47"/>
      <c r="K13" s="46" t="str">
        <f>+IFERROR(IF(COUNT(H13:J13),ROUND(SUM(H13:J13),0),""),"")</f>
        <v/>
      </c>
      <c r="L13" s="17" t="str">
        <f>+IFERROR(IF(COUNT(K13),ROUND(K13/'Shareholding Pattern'!$L$57*100,2),""),0)</f>
        <v/>
      </c>
      <c r="M13" s="277" t="str">
        <f>IF(H13="","",H13)</f>
        <v/>
      </c>
      <c r="N13" s="207"/>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2"/>
      <c r="AA13" s="333"/>
      <c r="AC13" s="11">
        <f>IF(SUM(H13:Y13)&gt;0,1,0)</f>
        <v>0</v>
      </c>
      <c r="AD13" s="11" t="str">
        <f>IF(COUNT(H15:$Y$15000)=0,"",SUM(AC1:AC65533))</f>
        <v/>
      </c>
      <c r="AR13" s="11" t="s">
        <v>399</v>
      </c>
    </row>
    <row r="14" spans="5:45" ht="24.9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400</v>
      </c>
    </row>
    <row r="15" spans="5:45" ht="24.95" hidden="1" customHeight="1">
      <c r="E15" s="12"/>
      <c r="F15" s="13"/>
      <c r="G15" s="13"/>
      <c r="H15" s="13"/>
      <c r="I15" s="13"/>
      <c r="J15" s="13"/>
      <c r="K15" s="13"/>
      <c r="L15" s="13"/>
      <c r="M15" s="13"/>
      <c r="N15" s="13"/>
      <c r="O15" s="13"/>
      <c r="P15" s="13"/>
      <c r="Q15" s="13"/>
      <c r="R15" s="13"/>
      <c r="S15" s="13"/>
      <c r="T15" s="13"/>
      <c r="U15" s="13"/>
      <c r="V15" s="13"/>
      <c r="W15" s="13"/>
      <c r="X15" s="13"/>
      <c r="Y15" s="198"/>
    </row>
    <row r="16" spans="5:45" ht="20.100000000000001" customHeight="1">
      <c r="E16" s="59"/>
      <c r="F16" s="60" t="s">
        <v>448</v>
      </c>
      <c r="G16" s="60" t="s">
        <v>19</v>
      </c>
      <c r="H16" s="1" t="str">
        <f>+IFERROR(IF(COUNT(H14:H15),ROUND(SUM(H14:H15),0),""),"")</f>
        <v/>
      </c>
      <c r="I16" s="1" t="str">
        <f>+IFERROR(IF(COUNT(I14:I15),ROUND(SUM(I14:I15),0),""),"")</f>
        <v/>
      </c>
      <c r="J16" s="1" t="str">
        <f>+IFERROR(IF(COUNT(J14:J15),ROUND(SUM(J14:J15),0),""),"")</f>
        <v/>
      </c>
      <c r="K16" s="1" t="str">
        <f>+IFERROR(IF(COUNT(K14:K15),ROUND(SUM(K14:K15),0),""),"")</f>
        <v/>
      </c>
      <c r="L16" s="17" t="str">
        <f>+IFERROR(IF(COUNT(K16),ROUND(K16/'Shareholding Pattern'!$L$57*100,2),""),0)</f>
        <v/>
      </c>
      <c r="M16" s="34" t="str">
        <f>+IFERROR(IF(COUNT(M14:M15),ROUND(SUM(M14:M15),0),""),"")</f>
        <v/>
      </c>
      <c r="N16" s="34" t="str">
        <f>+IFERROR(IF(COUNT(N14:N15),ROUND(SUM(N14:N15),0),""),"")</f>
        <v/>
      </c>
      <c r="O16" s="34" t="str">
        <f>+IFERROR(IF(COUNT(O14:O15),ROUND(SUM(O14:O15),0),""),"")</f>
        <v/>
      </c>
      <c r="P16" s="17" t="str">
        <f>+IFERROR(IF(COUNT(O16),ROUND(O16/('Shareholding Pattern'!$P$58)*100,2),""),0)</f>
        <v/>
      </c>
      <c r="Q16" s="1" t="str">
        <f>+IFERROR(IF(COUNT(Q14:Q15),ROUND(SUM(Q14:Q15),0),""),"")</f>
        <v/>
      </c>
      <c r="R16" s="1" t="str">
        <f>+IFERROR(IF(COUNT(R14:R15),ROUND(SUM(R14:R15),0),""),"")</f>
        <v/>
      </c>
      <c r="S16" s="1" t="str">
        <f>+IFERROR(IF(COUNT(S14:S15),ROUND(SUM(S14:S15),0),""),"")</f>
        <v/>
      </c>
      <c r="T16" s="17" t="str">
        <f>+IFERROR(IF(COUNT(K16,S16),ROUND(SUM(S16,K16)/SUM('Shareholding Pattern'!$L$57,'Shareholding Pattern'!$T$57)*100,2),""),0)</f>
        <v/>
      </c>
      <c r="U16" s="1" t="str">
        <f>+IFERROR(IF(COUNT(U14:U15),ROUND(SUM(U14:U15),0),""),"")</f>
        <v/>
      </c>
      <c r="V16" s="17" t="str">
        <f>+IFERROR(IF(COUNT(U16),ROUND(SUM(U16)/SUM(K16)*100,2),""),0)</f>
        <v/>
      </c>
      <c r="W16" s="1" t="str">
        <f>+IFERROR(IF(COUNT(W14:W15),ROUND(SUM(W14:W15),0),""),"")</f>
        <v/>
      </c>
      <c r="X16" s="17" t="str">
        <f>+IFERROR(IF(COUNT(W16),ROUND(SUM(W16)/SUM(K16)*100,2),""),0)</f>
        <v/>
      </c>
      <c r="Y16" s="1" t="str">
        <f>+IFERROR(IF(COUNT(Y14:Y15),ROUND(SUM(Y14:Y15),0),""),"")</f>
        <v/>
      </c>
    </row>
  </sheetData>
  <sheetProtection password="F884" sheet="1" objects="1" scenarios="1"/>
  <mergeCells count="20">
    <mergeCell ref="AA9:AA11"/>
    <mergeCell ref="U9:V10"/>
    <mergeCell ref="Z9:Z11"/>
    <mergeCell ref="W9:X10"/>
    <mergeCell ref="Y9:Y11"/>
    <mergeCell ref="J9:J11"/>
    <mergeCell ref="K9:K11"/>
    <mergeCell ref="L9:L11"/>
    <mergeCell ref="M9:P9"/>
    <mergeCell ref="Q9:Q11"/>
    <mergeCell ref="T9:T11"/>
    <mergeCell ref="S9:S11"/>
    <mergeCell ref="M10:O10"/>
    <mergeCell ref="P10:P11"/>
    <mergeCell ref="R9:R11"/>
    <mergeCell ref="E9:E11"/>
    <mergeCell ref="F9:F11"/>
    <mergeCell ref="G9:G11"/>
    <mergeCell ref="H9:H11"/>
    <mergeCell ref="I9:I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list" allowBlank="1" showInputMessage="1" showErrorMessage="1" sqref="AA13">
      <formula1>$AR$2:$AS$2</formula1>
    </dataValidation>
  </dataValidations>
  <hyperlinks>
    <hyperlink ref="G16" location="'Shareholding Pattern'!F23" display="Total"/>
    <hyperlink ref="F16" location="'Shareholding Pattern'!F23" display="Total"/>
  </hyperlinks>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sheetPr codeName="Sheet10">
    <tabColor theme="2" tint="-9.9978637043366805E-2"/>
  </sheetPr>
  <dimension ref="A1:XFC16"/>
  <sheetViews>
    <sheetView showGridLines="0" topLeftCell="C7" zoomScale="90" zoomScaleNormal="90" workbookViewId="0">
      <selection activeCell="G16" sqref="G16"/>
    </sheetView>
  </sheetViews>
  <sheetFormatPr defaultColWidth="0" defaultRowHeight="15"/>
  <cols>
    <col min="1" max="2" width="2.7109375" hidden="1" customWidth="1"/>
    <col min="3" max="3" width="2.7109375" customWidth="1"/>
    <col min="4" max="4" width="9.7109375" customWidth="1"/>
    <col min="5" max="5" width="33.28515625" customWidth="1"/>
    <col min="6" max="6" width="35.7109375" hidden="1" customWidth="1"/>
    <col min="7" max="7" width="37.28515625" customWidth="1"/>
    <col min="8" max="8" width="13.7109375" customWidth="1"/>
    <col min="9" max="10" width="14.5703125" customWidth="1"/>
    <col min="11" max="11" width="14.5703125" hidden="1" customWidth="1"/>
    <col min="12" max="12" width="15.5703125" hidden="1" customWidth="1"/>
    <col min="13" max="13" width="13.5703125" customWidth="1"/>
    <col min="14" max="14" width="15.42578125" customWidth="1"/>
    <col min="15" max="15" width="16" customWidth="1"/>
    <col min="16" max="16" width="15.28515625" hidden="1" customWidth="1"/>
    <col min="17" max="17" width="14.5703125" customWidth="1"/>
    <col min="18" max="18" width="12.5703125" customWidth="1"/>
    <col min="19" max="20" width="14.5703125" hidden="1" customWidth="1"/>
    <col min="21" max="21" width="18" customWidth="1"/>
    <col min="22" max="22" width="15.42578125" customWidth="1"/>
    <col min="23" max="23" width="12.5703125" hidden="1" customWidth="1"/>
    <col min="24" max="24" width="8.5703125" hidden="1" customWidth="1"/>
    <col min="25" max="25" width="12.5703125" hidden="1" customWidth="1"/>
    <col min="26" max="26" width="8.42578125" hidden="1" customWidth="1"/>
    <col min="27" max="27" width="15.85546875" customWidth="1"/>
    <col min="28" max="28" width="16.5703125" customWidth="1"/>
    <col min="29" max="29" width="17.140625" style="291" customWidth="1"/>
    <col min="30" max="30" width="3.85546875" style="291" customWidth="1"/>
    <col min="31" max="16383" width="4" hidden="1"/>
    <col min="16384" max="16384" width="3.7109375" hidden="1"/>
  </cols>
  <sheetData>
    <row r="1" spans="4:53" hidden="1">
      <c r="I1">
        <v>0</v>
      </c>
      <c r="AC1"/>
      <c r="AD1"/>
    </row>
    <row r="2" spans="4:53" hidden="1">
      <c r="E2" t="s">
        <v>348</v>
      </c>
      <c r="F2" t="s">
        <v>435</v>
      </c>
      <c r="G2" t="s">
        <v>249</v>
      </c>
      <c r="H2" t="s">
        <v>420</v>
      </c>
      <c r="I2" t="s">
        <v>144</v>
      </c>
      <c r="J2" t="s">
        <v>165</v>
      </c>
      <c r="K2" t="s">
        <v>166</v>
      </c>
      <c r="L2" t="s">
        <v>167</v>
      </c>
      <c r="M2" t="s">
        <v>168</v>
      </c>
      <c r="N2" t="s">
        <v>169</v>
      </c>
      <c r="O2" t="s">
        <v>170</v>
      </c>
      <c r="P2" t="s">
        <v>171</v>
      </c>
      <c r="Q2" t="s">
        <v>172</v>
      </c>
      <c r="R2" t="s">
        <v>173</v>
      </c>
      <c r="S2" t="s">
        <v>174</v>
      </c>
      <c r="T2" t="s">
        <v>175</v>
      </c>
      <c r="U2" t="s">
        <v>176</v>
      </c>
      <c r="V2" t="s">
        <v>177</v>
      </c>
      <c r="W2" t="s">
        <v>178</v>
      </c>
      <c r="X2" t="s">
        <v>179</v>
      </c>
      <c r="Y2" t="s">
        <v>180</v>
      </c>
      <c r="Z2" t="s">
        <v>181</v>
      </c>
      <c r="AA2" t="s">
        <v>182</v>
      </c>
      <c r="AB2" t="s">
        <v>499</v>
      </c>
      <c r="AC2" t="s">
        <v>517</v>
      </c>
      <c r="AD2"/>
      <c r="AR2" t="s">
        <v>519</v>
      </c>
      <c r="AS2" t="s">
        <v>520</v>
      </c>
    </row>
    <row r="3" spans="4:53" hidden="1">
      <c r="AC3"/>
      <c r="AD3"/>
      <c r="AR3" t="s">
        <v>498</v>
      </c>
      <c r="AS3" t="s">
        <v>525</v>
      </c>
      <c r="AT3" t="s">
        <v>526</v>
      </c>
      <c r="AU3" t="s">
        <v>629</v>
      </c>
      <c r="AV3" t="s">
        <v>401</v>
      </c>
      <c r="AW3" t="s">
        <v>527</v>
      </c>
      <c r="AX3" t="s">
        <v>400</v>
      </c>
      <c r="AY3" t="s">
        <v>395</v>
      </c>
      <c r="AZ3" t="s">
        <v>528</v>
      </c>
      <c r="BA3" t="s">
        <v>524</v>
      </c>
    </row>
    <row r="4" spans="4:53" hidden="1">
      <c r="AC4"/>
      <c r="AD4"/>
    </row>
    <row r="5" spans="4:53" hidden="1">
      <c r="AC5"/>
      <c r="AD5"/>
    </row>
    <row r="6" spans="4:53" hidden="1">
      <c r="AC6"/>
      <c r="AD6"/>
    </row>
    <row r="7" spans="4:53" ht="18" customHeight="1">
      <c r="AC7"/>
      <c r="AD7"/>
      <c r="AR7" s="63"/>
    </row>
    <row r="8" spans="4:53" ht="15" customHeight="1">
      <c r="AC8"/>
      <c r="AD8"/>
      <c r="AR8" s="63"/>
    </row>
    <row r="9" spans="4:53" ht="29.25" customHeight="1">
      <c r="D9" s="538" t="s">
        <v>137</v>
      </c>
      <c r="E9" s="521" t="s">
        <v>34</v>
      </c>
      <c r="F9" s="521"/>
      <c r="G9" s="538" t="s">
        <v>136</v>
      </c>
      <c r="H9" s="521" t="s">
        <v>1</v>
      </c>
      <c r="I9" s="473" t="s">
        <v>426</v>
      </c>
      <c r="J9" s="521" t="s">
        <v>3</v>
      </c>
      <c r="K9" s="521" t="s">
        <v>4</v>
      </c>
      <c r="L9" s="521" t="s">
        <v>5</v>
      </c>
      <c r="M9" s="521" t="s">
        <v>6</v>
      </c>
      <c r="N9" s="521" t="s">
        <v>7</v>
      </c>
      <c r="O9" s="521" t="s">
        <v>8</v>
      </c>
      <c r="P9" s="521"/>
      <c r="Q9" s="521"/>
      <c r="R9" s="521"/>
      <c r="S9" s="521" t="s">
        <v>9</v>
      </c>
      <c r="T9" s="538" t="s">
        <v>505</v>
      </c>
      <c r="U9" s="538" t="s">
        <v>134</v>
      </c>
      <c r="V9" s="521" t="s">
        <v>107</v>
      </c>
      <c r="W9" s="521" t="s">
        <v>12</v>
      </c>
      <c r="X9" s="521"/>
      <c r="Y9" s="521" t="s">
        <v>13</v>
      </c>
      <c r="Z9" s="521"/>
      <c r="AA9" s="521" t="s">
        <v>14</v>
      </c>
      <c r="AB9" s="473" t="s">
        <v>499</v>
      </c>
      <c r="AC9" s="538" t="s">
        <v>517</v>
      </c>
      <c r="AD9"/>
      <c r="AS9" s="63"/>
      <c r="AV9" t="s">
        <v>34</v>
      </c>
    </row>
    <row r="10" spans="4:53" ht="31.5" customHeight="1">
      <c r="D10" s="536"/>
      <c r="E10" s="521"/>
      <c r="F10" s="521"/>
      <c r="G10" s="536"/>
      <c r="H10" s="521"/>
      <c r="I10" s="521"/>
      <c r="J10" s="521"/>
      <c r="K10" s="521"/>
      <c r="L10" s="521"/>
      <c r="M10" s="521"/>
      <c r="N10" s="521"/>
      <c r="O10" s="521" t="s">
        <v>15</v>
      </c>
      <c r="P10" s="521"/>
      <c r="Q10" s="521"/>
      <c r="R10" s="521" t="s">
        <v>16</v>
      </c>
      <c r="S10" s="521"/>
      <c r="T10" s="536"/>
      <c r="U10" s="536"/>
      <c r="V10" s="521"/>
      <c r="W10" s="521"/>
      <c r="X10" s="521"/>
      <c r="Y10" s="521"/>
      <c r="Z10" s="521"/>
      <c r="AA10" s="521"/>
      <c r="AB10" s="521"/>
      <c r="AC10" s="536"/>
      <c r="AD10"/>
      <c r="AS10" s="63"/>
      <c r="AV10" t="s">
        <v>437</v>
      </c>
    </row>
    <row r="11" spans="4:53" ht="78.75" customHeight="1">
      <c r="D11" s="537"/>
      <c r="E11" s="521"/>
      <c r="F11" s="521"/>
      <c r="G11" s="537"/>
      <c r="H11" s="521"/>
      <c r="I11" s="521"/>
      <c r="J11" s="521"/>
      <c r="K11" s="521"/>
      <c r="L11" s="521"/>
      <c r="M11" s="521"/>
      <c r="N11" s="521"/>
      <c r="O11" s="40" t="s">
        <v>17</v>
      </c>
      <c r="P11" s="40" t="s">
        <v>18</v>
      </c>
      <c r="Q11" s="40" t="s">
        <v>19</v>
      </c>
      <c r="R11" s="521"/>
      <c r="S11" s="521"/>
      <c r="T11" s="537"/>
      <c r="U11" s="537"/>
      <c r="V11" s="521"/>
      <c r="W11" s="40" t="s">
        <v>20</v>
      </c>
      <c r="X11" s="40" t="s">
        <v>21</v>
      </c>
      <c r="Y11" s="40" t="s">
        <v>20</v>
      </c>
      <c r="Z11" s="40" t="s">
        <v>21</v>
      </c>
      <c r="AA11" s="521"/>
      <c r="AB11" s="521"/>
      <c r="AC11" s="537"/>
      <c r="AD11"/>
      <c r="AS11" s="63"/>
    </row>
    <row r="12" spans="4:53" ht="30" customHeight="1">
      <c r="D12" s="9" t="s">
        <v>85</v>
      </c>
      <c r="E12" s="81" t="s">
        <v>33</v>
      </c>
      <c r="F12" s="82"/>
      <c r="G12" s="30"/>
      <c r="H12" s="30"/>
      <c r="I12" s="30"/>
      <c r="J12" s="30"/>
      <c r="K12" s="30"/>
      <c r="L12" s="30"/>
      <c r="M12" s="30"/>
      <c r="N12" s="30"/>
      <c r="O12" s="30"/>
      <c r="P12" s="30"/>
      <c r="Q12" s="30"/>
      <c r="R12" s="30"/>
      <c r="S12" s="30"/>
      <c r="T12" s="30"/>
      <c r="U12" s="30"/>
      <c r="V12" s="30"/>
      <c r="W12" s="30"/>
      <c r="X12" s="30"/>
      <c r="Y12" s="30"/>
      <c r="Z12" s="30"/>
      <c r="AA12" s="30"/>
      <c r="AB12" s="30"/>
      <c r="AC12" s="31"/>
      <c r="AD12"/>
      <c r="AR12" s="63"/>
    </row>
    <row r="13" spans="4:53" s="11" customFormat="1" ht="20.100000000000001" hidden="1" customHeight="1">
      <c r="D13" s="195"/>
      <c r="E13" s="77"/>
      <c r="F13" s="77"/>
      <c r="G13" s="77"/>
      <c r="H13" s="10"/>
      <c r="I13" s="16"/>
      <c r="J13" s="16"/>
      <c r="K13" s="47"/>
      <c r="L13" s="47"/>
      <c r="M13" s="238" t="str">
        <f>+IFERROR(IF(COUNT(J13:L13),ROUND(SUM(J13:L13),0),""),"")</f>
        <v/>
      </c>
      <c r="N13" s="236" t="str">
        <f>+IFERROR(IF(COUNT(M13),ROUND(M13/'Shareholding Pattern'!$L$57*100,2),""),0)</f>
        <v/>
      </c>
      <c r="O13" s="277" t="str">
        <f>IF(J13="","",J13)</f>
        <v/>
      </c>
      <c r="P13" s="207"/>
      <c r="Q13" s="51" t="str">
        <f>+IFERROR(IF(COUNT(O13:P13),ROUND(SUM(O13,P13),0),""),"")</f>
        <v/>
      </c>
      <c r="R13" s="17" t="str">
        <f>+IFERROR(IF(COUNT(Q13),ROUND(Q13/('Shareholding Pattern'!$P$58)*100,2),""),0)</f>
        <v/>
      </c>
      <c r="S13" s="47"/>
      <c r="T13" s="47"/>
      <c r="U13" s="48" t="str">
        <f>+IFERROR(IF(COUNT(S13:T13),ROUND(SUM(S13:T13),0),""),"")</f>
        <v/>
      </c>
      <c r="V13" s="17" t="str">
        <f>+IFERROR(IF(COUNT(M13,U13),ROUND(SUM(U13,M13)/SUM('Shareholding Pattern'!$L$57,'Shareholding Pattern'!$T$57)*100,2),""),0)</f>
        <v/>
      </c>
      <c r="W13" s="47"/>
      <c r="X13" s="17" t="str">
        <f>+IFERROR(IF(W13="","",(IF(COUNT(W13,M13),ROUND(SUM(W13)/SUM(M13)*100,2),""))),0)</f>
        <v/>
      </c>
      <c r="Y13" s="47"/>
      <c r="Z13" s="17" t="str">
        <f>+IFERROR(IF(Y13="","",(IF(COUNT(Y13,M13),ROUND(SUM(Y13)/SUM(M13)*100,2),""))),0)</f>
        <v/>
      </c>
      <c r="AA13" s="16"/>
      <c r="AB13" s="282"/>
      <c r="AC13" s="333"/>
      <c r="AD13" s="290"/>
      <c r="AF13" s="375">
        <f>IF(SUM(I13:AA13),1,0)</f>
        <v>0</v>
      </c>
      <c r="AG13" s="375" t="str">
        <f>IF(COUNT(H15:$Y$14998)=0,"",SUM(AF1:AF65531))</f>
        <v/>
      </c>
      <c r="AR13" s="63"/>
    </row>
    <row r="14" spans="4:53" ht="27" customHeight="1">
      <c r="D14" s="95"/>
      <c r="E14" s="96"/>
      <c r="F14" s="96"/>
      <c r="G14" s="96"/>
      <c r="H14" s="96"/>
      <c r="I14" s="96"/>
      <c r="J14" s="96"/>
      <c r="K14" s="96"/>
      <c r="L14" s="96"/>
      <c r="M14" s="96"/>
      <c r="N14" s="96"/>
      <c r="O14" s="96"/>
      <c r="P14" s="96"/>
      <c r="Q14" s="96"/>
      <c r="R14" s="96"/>
      <c r="S14" s="96"/>
      <c r="T14" s="96"/>
      <c r="U14" s="96"/>
      <c r="V14" s="96"/>
      <c r="W14" s="96"/>
      <c r="X14" s="96"/>
      <c r="Y14" s="96"/>
      <c r="AA14" s="55"/>
      <c r="AB14" s="55"/>
      <c r="AC14" s="97"/>
      <c r="AR14" s="63"/>
    </row>
    <row r="15" spans="4:53" hidden="1">
      <c r="D15" s="45"/>
      <c r="Z15" s="55"/>
      <c r="AA15" s="55"/>
    </row>
    <row r="16" spans="4:53" ht="20.100000000000001" customHeight="1">
      <c r="D16" s="59"/>
      <c r="E16" s="36"/>
      <c r="F16" s="36"/>
      <c r="G16" s="214" t="s">
        <v>450</v>
      </c>
      <c r="H16" s="214" t="s">
        <v>19</v>
      </c>
      <c r="I16" s="64" t="str">
        <f>+IFERROR(IF(COUNT(I14:I15),ROUND(SUM(I14:I15),0),""),"")</f>
        <v/>
      </c>
      <c r="J16" s="64" t="str">
        <f>+IFERROR(IF(COUNT(J14:J15),ROUND(SUM(J14:J15),0),""),"")</f>
        <v/>
      </c>
      <c r="K16" s="64" t="str">
        <f>+IFERROR(IF(COUNT(K14:K15),ROUND(SUM(K14:K15),0),""),"")</f>
        <v/>
      </c>
      <c r="L16" s="64" t="str">
        <f>+IFERROR(IF(COUNT(L14:L15),ROUND(SUM(L14:L15),0),""),"")</f>
        <v/>
      </c>
      <c r="M16" s="64" t="str">
        <f>+IFERROR(IF(COUNT(M14:M15),ROUND(SUM(M14:M15),0),""),"")</f>
        <v/>
      </c>
      <c r="N16" s="236" t="str">
        <f>+IFERROR(IF(COUNT(M16),ROUND(M16/'Shareholding Pattern'!$L$57*100,2),""),0)</f>
        <v/>
      </c>
      <c r="O16" s="189" t="str">
        <f>+IFERROR(IF(COUNT(O14:O15),ROUND(SUM(O14:O15),0),""),"")</f>
        <v/>
      </c>
      <c r="P16" s="189" t="str">
        <f>+IFERROR(IF(COUNT(P14:P15),ROUND(SUM(P14:P15),0),""),"")</f>
        <v/>
      </c>
      <c r="Q16" s="189" t="str">
        <f>+IFERROR(IF(COUNT(Q14:Q15),ROUND(SUM(Q14:Q15),0),""),"")</f>
        <v/>
      </c>
      <c r="R16" s="236" t="str">
        <f>+IFERROR(IF(COUNT(Q16),ROUND(Q16/('Shareholding Pattern'!$P$58)*100,2),""),0)</f>
        <v/>
      </c>
      <c r="S16" s="64" t="str">
        <f>+IFERROR(IF(COUNT(S14:S15),ROUND(SUM(S14:S15),0),""),"")</f>
        <v/>
      </c>
      <c r="T16" s="64" t="str">
        <f>+IFERROR(IF(COUNT(T14:T15),ROUND(SUM(T14:T15),0),""),"")</f>
        <v/>
      </c>
      <c r="U16" s="64" t="str">
        <f>+IFERROR(IF(COUNT(U14:U15),ROUND(SUM(U14:U15),0),""),"")</f>
        <v/>
      </c>
      <c r="V16" s="236" t="str">
        <f>+IFERROR(IF(COUNT(M16,U16),ROUND(SUM(U16,M16)/SUM('Shareholding Pattern'!$L$57,'Shareholding Pattern'!$T$57)*100,2),""),0)</f>
        <v/>
      </c>
      <c r="W16" s="64" t="str">
        <f>+IFERROR(IF(COUNT(W14:W15),ROUND(SUM(W14:W15),0),""),"")</f>
        <v/>
      </c>
      <c r="X16" s="236" t="str">
        <f>+IFERROR(IF(COUNT(W16,J16),ROUND(SUM(W16)/SUM(M16)*100,2),""),0)</f>
        <v/>
      </c>
      <c r="Y16" s="64" t="str">
        <f>+IFERROR(IF(COUNT(Y14:Y15),ROUND(SUM(Y14:Y15),0),""),"")</f>
        <v/>
      </c>
      <c r="Z16" s="236" t="str">
        <f>+IFERROR(IF(COUNT(Y16,J16),ROUND(SUM(Y16)/SUM(M16)*100,2),""),0)</f>
        <v/>
      </c>
      <c r="AA16" s="64" t="str">
        <f>+IFERROR(IF(COUNT(AA14:AA15),ROUND(SUM(AA14:AA15),0),""),"")</f>
        <v/>
      </c>
    </row>
  </sheetData>
  <sheetProtection password="F884" sheet="1" objects="1" scenarios="1"/>
  <mergeCells count="23">
    <mergeCell ref="AC9:AC11"/>
    <mergeCell ref="V9:V11"/>
    <mergeCell ref="T9:T11"/>
    <mergeCell ref="U9:U11"/>
    <mergeCell ref="O10:Q10"/>
    <mergeCell ref="S9:S11"/>
    <mergeCell ref="R10:R11"/>
    <mergeCell ref="AB9:AB11"/>
    <mergeCell ref="W9:X10"/>
    <mergeCell ref="Y9:Z10"/>
    <mergeCell ref="AA9:AA11"/>
    <mergeCell ref="O9:R9"/>
    <mergeCell ref="D9:D11"/>
    <mergeCell ref="E9:E11"/>
    <mergeCell ref="F9:F11"/>
    <mergeCell ref="H9:H11"/>
    <mergeCell ref="I9:I11"/>
    <mergeCell ref="G9:G11"/>
    <mergeCell ref="J9:J11"/>
    <mergeCell ref="K9:K11"/>
    <mergeCell ref="L9:L11"/>
    <mergeCell ref="M9:M11"/>
    <mergeCell ref="N9:N11"/>
  </mergeCells>
  <dataValidations disablePrompts="1" count="8">
    <dataValidation type="whole" operator="lessThanOrEqual" allowBlank="1" showInputMessage="1" showErrorMessage="1" sqref="AA13">
      <formula1>M13</formula1>
    </dataValidation>
    <dataValidation type="whole" operator="lessThanOrEqual" allowBlank="1" showInputMessage="1" showErrorMessage="1" sqref="W13">
      <formula1>J13</formula1>
    </dataValidation>
    <dataValidation type="whole" operator="lessThanOrEqual" allowBlank="1" showInputMessage="1" showErrorMessage="1" sqref="Y13">
      <formula1>J13</formula1>
    </dataValidation>
    <dataValidation type="list" allowBlank="1" showInputMessage="1" showErrorMessage="1" sqref="E13">
      <formula1>$AR$3:$BA$3</formula1>
    </dataValidation>
    <dataValidation type="whole" operator="greaterThanOrEqual" allowBlank="1" showInputMessage="1" showErrorMessage="1" sqref="O13:P13 S13:T13 I13:L13">
      <formula1>0</formula1>
    </dataValidation>
    <dataValidation type="textLength" operator="equal" allowBlank="1" showInputMessage="1" showErrorMessage="1" prompt="[A-Z][A-Z][A-Z][A-Z][A-Z][0-9][0-9][0-9][0-9][A-Z]_x000a__x000a_In absence of PAN write : ZZZZZ9999Z" sqref="H13">
      <formula1>10</formula1>
    </dataValidation>
    <dataValidation type="list" allowBlank="1" showInputMessage="1" showErrorMessage="1" sqref="F13">
      <formula1>$AV$9:$AV$10</formula1>
    </dataValidation>
    <dataValidation type="list" allowBlank="1" showInputMessage="1" showErrorMessage="1" sqref="AC13">
      <formula1>$AR$2:$AS$2</formula1>
    </dataValidation>
  </dataValidations>
  <hyperlinks>
    <hyperlink ref="H16" location="'Shareholding Pattern'!F24" display="Total"/>
    <hyperlink ref="G16" location="'Shareholding Pattern'!F24" display="Total"/>
  </hyperlinks>
  <pageMargins left="0.7" right="0.7" top="0.75" bottom="0.75" header="0.3" footer="0.3"/>
  <pageSetup orientation="portrait" horizontalDpi="200" verticalDpi="200" r:id="rId1"/>
  <drawing r:id="rId2"/>
</worksheet>
</file>

<file path=xl/worksheets/sheet17.xml><?xml version="1.0" encoding="utf-8"?>
<worksheet xmlns="http://schemas.openxmlformats.org/spreadsheetml/2006/main" xmlns:r="http://schemas.openxmlformats.org/officeDocument/2006/relationships">
  <sheetPr codeName="Sheet11">
    <tabColor rgb="FFB685DB"/>
  </sheetPr>
  <dimension ref="A1:XFC16"/>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6.5703125" customWidth="1"/>
    <col min="14" max="14" width="16.42578125" hidden="1" customWidth="1"/>
    <col min="15" max="15" width="19.42578125" customWidth="1"/>
    <col min="16" max="16" width="12.85546875" customWidth="1"/>
    <col min="17" max="19" width="14.5703125" hidden="1" customWidth="1"/>
    <col min="20" max="20" width="19.140625" customWidth="1"/>
    <col min="21" max="21" width="15.42578125" hidden="1" customWidth="1"/>
    <col min="22" max="22" width="8.42578125" hidden="1" customWidth="1"/>
    <col min="23" max="23" width="15.42578125" customWidth="1"/>
    <col min="24" max="24" width="18.7109375" customWidth="1"/>
    <col min="25" max="25" width="4" customWidth="1"/>
    <col min="26" max="26" width="3.5703125" customWidth="1"/>
    <col min="27" max="16383" width="13" hidden="1"/>
    <col min="16384" max="16384" width="3.710937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7" spans="5:44" ht="15" customHeight="1">
      <c r="AR7" t="s">
        <v>403</v>
      </c>
    </row>
    <row r="8" spans="5:44" ht="15" customHeight="1">
      <c r="AR8" t="s">
        <v>393</v>
      </c>
    </row>
    <row r="9" spans="5:44" ht="29.25" customHeight="1">
      <c r="E9" s="538" t="s">
        <v>137</v>
      </c>
      <c r="F9" s="521" t="s">
        <v>136</v>
      </c>
      <c r="G9" s="521" t="s">
        <v>1</v>
      </c>
      <c r="H9" s="521" t="s">
        <v>3</v>
      </c>
      <c r="I9" s="521" t="s">
        <v>4</v>
      </c>
      <c r="J9" s="521" t="s">
        <v>5</v>
      </c>
      <c r="K9" s="521" t="s">
        <v>6</v>
      </c>
      <c r="L9" s="521" t="s">
        <v>7</v>
      </c>
      <c r="M9" s="521" t="s">
        <v>8</v>
      </c>
      <c r="N9" s="521"/>
      <c r="O9" s="521"/>
      <c r="P9" s="521"/>
      <c r="Q9" s="521" t="s">
        <v>9</v>
      </c>
      <c r="R9" s="538" t="s">
        <v>505</v>
      </c>
      <c r="S9" s="538" t="s">
        <v>134</v>
      </c>
      <c r="T9" s="521" t="s">
        <v>107</v>
      </c>
      <c r="U9" s="521" t="s">
        <v>12</v>
      </c>
      <c r="V9" s="521"/>
      <c r="W9" s="521" t="s">
        <v>14</v>
      </c>
      <c r="X9" s="473" t="s">
        <v>499</v>
      </c>
      <c r="AR9" t="s">
        <v>404</v>
      </c>
    </row>
    <row r="10" spans="5:44" ht="31.5" customHeight="1">
      <c r="E10" s="536"/>
      <c r="F10" s="521"/>
      <c r="G10" s="521"/>
      <c r="H10" s="521"/>
      <c r="I10" s="521"/>
      <c r="J10" s="521"/>
      <c r="K10" s="521"/>
      <c r="L10" s="521"/>
      <c r="M10" s="521" t="s">
        <v>15</v>
      </c>
      <c r="N10" s="521"/>
      <c r="O10" s="521"/>
      <c r="P10" s="521" t="s">
        <v>16</v>
      </c>
      <c r="Q10" s="521"/>
      <c r="R10" s="536"/>
      <c r="S10" s="536"/>
      <c r="T10" s="521"/>
      <c r="U10" s="521"/>
      <c r="V10" s="521"/>
      <c r="W10" s="521"/>
      <c r="X10" s="521"/>
      <c r="AR10" t="s">
        <v>394</v>
      </c>
    </row>
    <row r="11" spans="5:44" ht="78.75" customHeight="1">
      <c r="E11" s="537"/>
      <c r="F11" s="521"/>
      <c r="G11" s="521"/>
      <c r="H11" s="521"/>
      <c r="I11" s="521"/>
      <c r="J11" s="521"/>
      <c r="K11" s="521"/>
      <c r="L11" s="521"/>
      <c r="M11" s="40" t="s">
        <v>17</v>
      </c>
      <c r="N11" s="40" t="s">
        <v>18</v>
      </c>
      <c r="O11" s="40" t="s">
        <v>19</v>
      </c>
      <c r="P11" s="521"/>
      <c r="Q11" s="521"/>
      <c r="R11" s="537"/>
      <c r="S11" s="537"/>
      <c r="T11" s="521"/>
      <c r="U11" s="40" t="s">
        <v>20</v>
      </c>
      <c r="V11" s="40" t="s">
        <v>21</v>
      </c>
      <c r="W11" s="521"/>
      <c r="X11" s="521"/>
      <c r="AR11" t="s">
        <v>405</v>
      </c>
    </row>
    <row r="12" spans="5:44" ht="20.100000000000001" customHeight="1">
      <c r="E12" s="9" t="s">
        <v>86</v>
      </c>
      <c r="F12" s="52" t="s">
        <v>46</v>
      </c>
      <c r="G12" s="49"/>
      <c r="H12" s="49"/>
      <c r="I12" s="49"/>
      <c r="J12" s="49"/>
      <c r="K12" s="49"/>
      <c r="L12" s="49"/>
      <c r="M12" s="49"/>
      <c r="N12" s="49"/>
      <c r="O12" s="49"/>
      <c r="P12" s="49"/>
      <c r="Q12" s="49"/>
      <c r="R12" s="49"/>
      <c r="S12" s="49"/>
      <c r="T12" s="49"/>
      <c r="U12" s="49"/>
      <c r="V12" s="49"/>
      <c r="W12" s="49"/>
      <c r="X12" s="50"/>
      <c r="AR12" t="s">
        <v>406</v>
      </c>
    </row>
    <row r="13" spans="5:44"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Y13"/>
      <c r="AC13" s="11">
        <f>IF(SUM(H13:W13)&gt;0,1,0)</f>
        <v>0</v>
      </c>
      <c r="AD13" s="11">
        <f>SUM(AC15:AC65535)</f>
        <v>0</v>
      </c>
      <c r="AR13" s="11" t="s">
        <v>397</v>
      </c>
    </row>
    <row r="14" spans="5:44" ht="24.95" customHeight="1">
      <c r="E14" s="42"/>
      <c r="F14" s="43"/>
      <c r="G14" s="265" t="s">
        <v>494</v>
      </c>
      <c r="H14" s="43"/>
      <c r="I14" s="43"/>
      <c r="J14" s="43"/>
      <c r="K14" s="43"/>
      <c r="L14" s="43"/>
      <c r="M14" s="43"/>
      <c r="N14" s="43"/>
      <c r="O14" s="43"/>
      <c r="P14" s="43"/>
      <c r="Q14" s="43"/>
      <c r="R14" s="43"/>
      <c r="S14" s="43"/>
      <c r="T14" s="43"/>
      <c r="U14" s="43"/>
      <c r="V14" s="43"/>
      <c r="W14" s="43"/>
      <c r="X14" s="44"/>
      <c r="AR14" t="s">
        <v>402</v>
      </c>
    </row>
    <row r="15" spans="5:44" ht="24.95" hidden="1" customHeight="1">
      <c r="E15" s="2"/>
      <c r="F15" s="3"/>
      <c r="G15" s="3"/>
      <c r="H15" s="3"/>
      <c r="I15" s="3"/>
      <c r="J15" s="3"/>
      <c r="K15" s="3"/>
      <c r="L15" s="3"/>
      <c r="M15" s="3"/>
      <c r="N15" s="3"/>
      <c r="O15" s="3"/>
      <c r="P15" s="3"/>
      <c r="Q15" s="3"/>
      <c r="R15" s="3"/>
      <c r="S15" s="3"/>
      <c r="T15" s="3"/>
      <c r="U15" s="3"/>
      <c r="V15" s="3"/>
      <c r="W15" s="198"/>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row>
  </sheetData>
  <sheetProtection sheet="1" objects="1" scenarios="1"/>
  <mergeCells count="18">
    <mergeCell ref="K9:K11"/>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0" display="Total"/>
    <hyperlink ref="F16" location="'Shareholding Pattern'!F30" display="Total"/>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sheetPr codeName="Sheet12">
    <tabColor rgb="FFB685DB"/>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14.28515625" customWidth="1"/>
    <col min="17" max="19" width="14.5703125" hidden="1" customWidth="1"/>
    <col min="20" max="20" width="19.140625" customWidth="1"/>
    <col min="21" max="21" width="15.42578125" hidden="1" customWidth="1"/>
    <col min="22" max="22" width="8.7109375" hidden="1" customWidth="1"/>
    <col min="23" max="23" width="15.42578125" customWidth="1"/>
    <col min="24" max="24" width="18.7109375" customWidth="1"/>
    <col min="25" max="25" width="3" customWidth="1"/>
    <col min="26" max="26" width="2.7109375" customWidth="1"/>
    <col min="27" max="16383" width="22.42578125" hidden="1"/>
    <col min="16384" max="16384" width="2.8554687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8" t="s">
        <v>137</v>
      </c>
      <c r="F9" s="521" t="s">
        <v>136</v>
      </c>
      <c r="G9" s="521" t="s">
        <v>1</v>
      </c>
      <c r="H9" s="521" t="s">
        <v>3</v>
      </c>
      <c r="I9" s="521" t="s">
        <v>4</v>
      </c>
      <c r="J9" s="521" t="s">
        <v>5</v>
      </c>
      <c r="K9" s="521" t="s">
        <v>6</v>
      </c>
      <c r="L9" s="521" t="s">
        <v>7</v>
      </c>
      <c r="M9" s="521" t="s">
        <v>8</v>
      </c>
      <c r="N9" s="521"/>
      <c r="O9" s="521"/>
      <c r="P9" s="521"/>
      <c r="Q9" s="521" t="s">
        <v>9</v>
      </c>
      <c r="R9" s="538" t="s">
        <v>505</v>
      </c>
      <c r="S9" s="538" t="s">
        <v>134</v>
      </c>
      <c r="T9" s="521" t="s">
        <v>107</v>
      </c>
      <c r="U9" s="521" t="s">
        <v>12</v>
      </c>
      <c r="V9" s="521"/>
      <c r="W9" s="521" t="s">
        <v>14</v>
      </c>
      <c r="X9" s="473" t="s">
        <v>499</v>
      </c>
      <c r="AR9" t="s">
        <v>404</v>
      </c>
    </row>
    <row r="10" spans="5:44" ht="31.5" customHeight="1">
      <c r="E10" s="536"/>
      <c r="F10" s="521"/>
      <c r="G10" s="521"/>
      <c r="H10" s="521"/>
      <c r="I10" s="521"/>
      <c r="J10" s="521"/>
      <c r="K10" s="521"/>
      <c r="L10" s="521"/>
      <c r="M10" s="521" t="s">
        <v>15</v>
      </c>
      <c r="N10" s="521"/>
      <c r="O10" s="521"/>
      <c r="P10" s="521" t="s">
        <v>16</v>
      </c>
      <c r="Q10" s="521"/>
      <c r="R10" s="536"/>
      <c r="S10" s="536"/>
      <c r="T10" s="521"/>
      <c r="U10" s="521"/>
      <c r="V10" s="521"/>
      <c r="W10" s="521"/>
      <c r="X10" s="521"/>
      <c r="AR10" t="s">
        <v>394</v>
      </c>
    </row>
    <row r="11" spans="5:44" ht="78.75" customHeight="1">
      <c r="E11" s="537"/>
      <c r="F11" s="521"/>
      <c r="G11" s="521"/>
      <c r="H11" s="521"/>
      <c r="I11" s="521"/>
      <c r="J11" s="521"/>
      <c r="K11" s="521"/>
      <c r="L11" s="521"/>
      <c r="M11" s="40" t="s">
        <v>17</v>
      </c>
      <c r="N11" s="40" t="s">
        <v>18</v>
      </c>
      <c r="O11" s="40" t="s">
        <v>19</v>
      </c>
      <c r="P11" s="521"/>
      <c r="Q11" s="521"/>
      <c r="R11" s="537"/>
      <c r="S11" s="537"/>
      <c r="T11" s="521"/>
      <c r="U11" s="40" t="s">
        <v>20</v>
      </c>
      <c r="V11" s="40" t="s">
        <v>21</v>
      </c>
      <c r="W11" s="521"/>
      <c r="X11" s="521"/>
      <c r="AR11" t="s">
        <v>405</v>
      </c>
    </row>
    <row r="12" spans="5:44" ht="18" customHeight="1">
      <c r="E12" s="9" t="s">
        <v>87</v>
      </c>
      <c r="F12" s="52" t="s">
        <v>47</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c r="AR13" s="11" t="s">
        <v>397</v>
      </c>
    </row>
    <row r="14" spans="5:44" ht="24.95" customHeight="1">
      <c r="E14" s="42"/>
      <c r="F14" s="43"/>
      <c r="G14" s="265" t="s">
        <v>497</v>
      </c>
      <c r="H14" s="43"/>
      <c r="I14" s="43"/>
      <c r="J14" s="43"/>
      <c r="K14" s="43"/>
      <c r="L14" s="43"/>
      <c r="M14" s="43"/>
      <c r="N14" s="43"/>
      <c r="O14" s="43"/>
      <c r="P14" s="43"/>
      <c r="Q14" s="43"/>
      <c r="R14" s="43"/>
      <c r="S14" s="43"/>
      <c r="T14" s="43"/>
      <c r="U14" s="43"/>
      <c r="V14" s="43"/>
      <c r="W14" s="43"/>
      <c r="X14" s="44"/>
      <c r="AR14" t="s">
        <v>402</v>
      </c>
    </row>
    <row r="15" spans="5:44" ht="0.75" hidden="1" customHeight="1">
      <c r="E15" s="2"/>
      <c r="F15" s="3"/>
      <c r="G15" s="3"/>
      <c r="H15" s="3"/>
      <c r="I15" s="3"/>
      <c r="J15" s="3"/>
      <c r="K15" s="3"/>
      <c r="L15" s="3"/>
      <c r="M15" s="3"/>
      <c r="N15" s="3"/>
      <c r="O15" s="3"/>
      <c r="P15" s="3"/>
      <c r="Q15" s="3"/>
      <c r="R15" s="3"/>
      <c r="S15" s="3"/>
      <c r="T15" s="3"/>
      <c r="U15" s="3"/>
      <c r="V15" s="3"/>
      <c r="W15" s="198"/>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K9:K11"/>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s>
  <dataValidations count="4">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H13:J13 M13:N13">
      <formula1>0</formula1>
    </dataValidation>
  </dataValidations>
  <hyperlinks>
    <hyperlink ref="G16" location="'Shareholding Pattern'!F31" display="Total"/>
    <hyperlink ref="F16" location="'Shareholding Pattern'!F31" display="Total"/>
  </hyperlink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sheetPr codeName="Sheet13">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6" customWidth="1"/>
    <col min="14" max="14" width="17.7109375" hidden="1" customWidth="1"/>
    <col min="15" max="15" width="16.42578125" customWidth="1"/>
    <col min="16" max="16" width="9" customWidth="1"/>
    <col min="17" max="19" width="14.5703125" hidden="1" customWidth="1"/>
    <col min="20" max="20" width="19.140625" customWidth="1"/>
    <col min="21" max="21" width="15.42578125" hidden="1" customWidth="1"/>
    <col min="22" max="22" width="8.85546875" hidden="1" customWidth="1"/>
    <col min="23" max="23" width="15.42578125" customWidth="1"/>
    <col min="24" max="24" width="17.5703125" customWidth="1"/>
    <col min="25" max="25" width="3.140625" customWidth="1"/>
    <col min="26" max="26" width="2.85546875" customWidth="1"/>
    <col min="27" max="16383" width="21" hidden="1"/>
    <col min="16384" max="16384" width="3"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8" t="s">
        <v>137</v>
      </c>
      <c r="F9" s="521" t="s">
        <v>136</v>
      </c>
      <c r="G9" s="521" t="s">
        <v>1</v>
      </c>
      <c r="H9" s="521" t="s">
        <v>3</v>
      </c>
      <c r="I9" s="521" t="s">
        <v>4</v>
      </c>
      <c r="J9" s="521" t="s">
        <v>5</v>
      </c>
      <c r="K9" s="521" t="s">
        <v>6</v>
      </c>
      <c r="L9" s="521" t="s">
        <v>7</v>
      </c>
      <c r="M9" s="521" t="s">
        <v>8</v>
      </c>
      <c r="N9" s="521"/>
      <c r="O9" s="521"/>
      <c r="P9" s="521"/>
      <c r="Q9" s="521" t="s">
        <v>9</v>
      </c>
      <c r="R9" s="538" t="s">
        <v>505</v>
      </c>
      <c r="S9" s="538" t="s">
        <v>134</v>
      </c>
      <c r="T9" s="521" t="s">
        <v>107</v>
      </c>
      <c r="U9" s="521" t="s">
        <v>12</v>
      </c>
      <c r="V9" s="521"/>
      <c r="W9" s="521" t="s">
        <v>14</v>
      </c>
      <c r="X9" s="473" t="s">
        <v>499</v>
      </c>
      <c r="AR9" t="s">
        <v>404</v>
      </c>
    </row>
    <row r="10" spans="5:44" ht="31.5" customHeight="1">
      <c r="E10" s="536"/>
      <c r="F10" s="521"/>
      <c r="G10" s="521"/>
      <c r="H10" s="521"/>
      <c r="I10" s="521"/>
      <c r="J10" s="521"/>
      <c r="K10" s="521"/>
      <c r="L10" s="521"/>
      <c r="M10" s="521" t="s">
        <v>15</v>
      </c>
      <c r="N10" s="521"/>
      <c r="O10" s="521"/>
      <c r="P10" s="521" t="s">
        <v>16</v>
      </c>
      <c r="Q10" s="521"/>
      <c r="R10" s="536"/>
      <c r="S10" s="536"/>
      <c r="T10" s="521"/>
      <c r="U10" s="521"/>
      <c r="V10" s="521"/>
      <c r="W10" s="521"/>
      <c r="X10" s="521"/>
      <c r="AR10" t="s">
        <v>394</v>
      </c>
    </row>
    <row r="11" spans="5:44" ht="78.75" customHeight="1">
      <c r="E11" s="537"/>
      <c r="F11" s="521"/>
      <c r="G11" s="521"/>
      <c r="H11" s="521"/>
      <c r="I11" s="521"/>
      <c r="J11" s="521"/>
      <c r="K11" s="521"/>
      <c r="L11" s="521"/>
      <c r="M11" s="40" t="s">
        <v>17</v>
      </c>
      <c r="N11" s="40" t="s">
        <v>18</v>
      </c>
      <c r="O11" s="40" t="s">
        <v>19</v>
      </c>
      <c r="P11" s="521"/>
      <c r="Q11" s="521"/>
      <c r="R11" s="537"/>
      <c r="S11" s="537"/>
      <c r="T11" s="521"/>
      <c r="U11" s="40" t="s">
        <v>20</v>
      </c>
      <c r="V11" s="40" t="s">
        <v>21</v>
      </c>
      <c r="W11" s="521"/>
      <c r="X11" s="521"/>
      <c r="AR11" t="s">
        <v>405</v>
      </c>
    </row>
    <row r="12" spans="5:44" ht="18.75" customHeight="1">
      <c r="E12" s="9" t="s">
        <v>88</v>
      </c>
      <c r="F12" s="52" t="s">
        <v>48</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c r="AR13" s="11" t="s">
        <v>397</v>
      </c>
    </row>
    <row r="14" spans="5:44" ht="24.95" customHeight="1">
      <c r="E14" s="42"/>
      <c r="F14" s="43"/>
      <c r="G14" s="265" t="s">
        <v>494</v>
      </c>
      <c r="H14" s="43"/>
      <c r="I14" s="43"/>
      <c r="J14" s="43"/>
      <c r="K14" s="43"/>
      <c r="L14" s="43"/>
      <c r="M14" s="43"/>
      <c r="N14" s="43"/>
      <c r="O14" s="43"/>
      <c r="P14" s="43"/>
      <c r="Q14" s="43"/>
      <c r="R14" s="43"/>
      <c r="S14" s="43"/>
      <c r="T14" s="43"/>
      <c r="U14" s="43"/>
      <c r="V14" s="43"/>
      <c r="W14" s="43"/>
      <c r="X14" s="44"/>
      <c r="AR14" t="s">
        <v>402</v>
      </c>
    </row>
    <row r="15" spans="5:44" ht="24.95" hidden="1" customHeight="1">
      <c r="E15" s="12"/>
      <c r="F15" s="13"/>
      <c r="G15" s="13"/>
      <c r="H15" s="13"/>
      <c r="I15" s="13"/>
      <c r="J15" s="13"/>
      <c r="K15" s="13"/>
      <c r="L15" s="13"/>
      <c r="M15" s="13"/>
      <c r="N15" s="13"/>
      <c r="O15" s="13"/>
      <c r="P15" s="13"/>
      <c r="Q15" s="13"/>
      <c r="R15" s="13"/>
      <c r="S15" s="13"/>
      <c r="T15" s="13"/>
      <c r="U15" s="13"/>
      <c r="V15" s="13"/>
      <c r="W15" s="198"/>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K9:K11"/>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s>
  <dataValidations count="5">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formula1>0</formula1>
    </dataValidation>
    <dataValidation type="whole" operator="greaterThanOrEqual" allowBlank="1" showInputMessage="1" showErrorMessage="1" sqref="H13:J13">
      <formula1>0</formula1>
    </dataValidation>
  </dataValidations>
  <hyperlinks>
    <hyperlink ref="G16" location="'Shareholding Pattern'!F32" display="Total"/>
    <hyperlink ref="F16" location="'Shareholding Pattern'!F32" display="Total"/>
  </hyperlink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sheetPr codeName="Sheet14">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7.140625" hidden="1" customWidth="1"/>
    <col min="15" max="15" width="17.42578125" customWidth="1"/>
    <col min="16" max="16" width="9.42578125" customWidth="1"/>
    <col min="17" max="19" width="14.5703125" hidden="1" customWidth="1"/>
    <col min="20" max="20" width="19.140625" customWidth="1"/>
    <col min="21" max="21" width="15.42578125" hidden="1" customWidth="1"/>
    <col min="22" max="22" width="8.28515625" hidden="1" customWidth="1"/>
    <col min="23" max="23" width="15.42578125" customWidth="1"/>
    <col min="24" max="24" width="18.42578125" customWidth="1"/>
    <col min="25" max="25" width="4" customWidth="1"/>
    <col min="26" max="26" width="3.85546875" customWidth="1"/>
    <col min="27" max="16383" width="4.7109375" hidden="1"/>
    <col min="16384" max="16384" width="3.710937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8" t="s">
        <v>137</v>
      </c>
      <c r="F9" s="521" t="s">
        <v>136</v>
      </c>
      <c r="G9" s="521" t="s">
        <v>1</v>
      </c>
      <c r="H9" s="521" t="s">
        <v>3</v>
      </c>
      <c r="I9" s="521" t="s">
        <v>4</v>
      </c>
      <c r="J9" s="521" t="s">
        <v>5</v>
      </c>
      <c r="K9" s="521" t="s">
        <v>6</v>
      </c>
      <c r="L9" s="521" t="s">
        <v>7</v>
      </c>
      <c r="M9" s="521" t="s">
        <v>8</v>
      </c>
      <c r="N9" s="521"/>
      <c r="O9" s="521"/>
      <c r="P9" s="521"/>
      <c r="Q9" s="521" t="s">
        <v>9</v>
      </c>
      <c r="R9" s="538" t="s">
        <v>505</v>
      </c>
      <c r="S9" s="538" t="s">
        <v>134</v>
      </c>
      <c r="T9" s="521" t="s">
        <v>107</v>
      </c>
      <c r="U9" s="521" t="s">
        <v>12</v>
      </c>
      <c r="V9" s="521"/>
      <c r="W9" s="521" t="s">
        <v>14</v>
      </c>
      <c r="X9" s="473" t="s">
        <v>499</v>
      </c>
      <c r="AR9" t="s">
        <v>404</v>
      </c>
    </row>
    <row r="10" spans="5:44" ht="31.5" customHeight="1">
      <c r="E10" s="536"/>
      <c r="F10" s="521"/>
      <c r="G10" s="521"/>
      <c r="H10" s="521"/>
      <c r="I10" s="521"/>
      <c r="J10" s="521"/>
      <c r="K10" s="521"/>
      <c r="L10" s="521"/>
      <c r="M10" s="521" t="s">
        <v>15</v>
      </c>
      <c r="N10" s="521"/>
      <c r="O10" s="521"/>
      <c r="P10" s="521" t="s">
        <v>16</v>
      </c>
      <c r="Q10" s="521"/>
      <c r="R10" s="536"/>
      <c r="S10" s="536"/>
      <c r="T10" s="521"/>
      <c r="U10" s="521"/>
      <c r="V10" s="521"/>
      <c r="W10" s="521"/>
      <c r="X10" s="521"/>
      <c r="AR10" t="s">
        <v>394</v>
      </c>
    </row>
    <row r="11" spans="5:44" ht="78.75" customHeight="1">
      <c r="E11" s="537"/>
      <c r="F11" s="521"/>
      <c r="G11" s="521"/>
      <c r="H11" s="521"/>
      <c r="I11" s="521"/>
      <c r="J11" s="521"/>
      <c r="K11" s="521"/>
      <c r="L11" s="521"/>
      <c r="M11" s="40" t="s">
        <v>17</v>
      </c>
      <c r="N11" s="40" t="s">
        <v>18</v>
      </c>
      <c r="O11" s="40" t="s">
        <v>19</v>
      </c>
      <c r="P11" s="521"/>
      <c r="Q11" s="521"/>
      <c r="R11" s="537"/>
      <c r="S11" s="537"/>
      <c r="T11" s="521"/>
      <c r="U11" s="40" t="s">
        <v>20</v>
      </c>
      <c r="V11" s="40" t="s">
        <v>21</v>
      </c>
      <c r="W11" s="521"/>
      <c r="X11" s="521"/>
      <c r="AR11" t="s">
        <v>405</v>
      </c>
    </row>
    <row r="12" spans="5:44" ht="20.100000000000001" customHeight="1">
      <c r="E12" s="9" t="s">
        <v>89</v>
      </c>
      <c r="F12" s="52" t="s">
        <v>49</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SUM(AC13:AC65535)</f>
        <v>0</v>
      </c>
      <c r="AR13" s="11" t="s">
        <v>397</v>
      </c>
    </row>
    <row r="14" spans="5:44" ht="24.95" customHeight="1">
      <c r="E14" s="42"/>
      <c r="F14" s="43"/>
      <c r="G14" s="265" t="s">
        <v>494</v>
      </c>
      <c r="H14" s="43"/>
      <c r="I14" s="43"/>
      <c r="J14" s="43"/>
      <c r="K14" s="43"/>
      <c r="L14" s="43"/>
      <c r="M14" s="43"/>
      <c r="N14" s="43"/>
      <c r="O14" s="43"/>
      <c r="P14" s="43"/>
      <c r="Q14" s="43"/>
      <c r="R14" s="43"/>
      <c r="S14" s="43"/>
      <c r="T14" s="43"/>
      <c r="U14" s="43"/>
      <c r="V14" s="43"/>
      <c r="W14" s="43"/>
      <c r="X14" s="44"/>
      <c r="AR14" t="s">
        <v>402</v>
      </c>
    </row>
    <row r="15" spans="5:44" ht="20.100000000000001" hidden="1" customHeight="1">
      <c r="E15" s="12"/>
      <c r="F15" s="13"/>
      <c r="G15" s="13"/>
      <c r="H15" s="13"/>
      <c r="I15" s="13"/>
      <c r="J15" s="13"/>
      <c r="K15" s="13"/>
      <c r="L15" s="13"/>
      <c r="M15" s="13"/>
      <c r="N15" s="13"/>
      <c r="O15" s="13"/>
      <c r="P15" s="13"/>
      <c r="Q15" s="13"/>
      <c r="R15" s="13"/>
      <c r="S15" s="13"/>
      <c r="T15" s="13"/>
      <c r="U15" s="13"/>
      <c r="V15" s="13"/>
      <c r="W15" s="198"/>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K9:K11"/>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s>
  <dataValidations count="5">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formula1>0</formula1>
    </dataValidation>
    <dataValidation type="whole" operator="greaterThanOrEqual" allowBlank="1" showInputMessage="1" showErrorMessage="1" sqref="H13:J13">
      <formula1>0</formula1>
    </dataValidation>
  </dataValidations>
  <hyperlinks>
    <hyperlink ref="G16" location="'Shareholding Pattern'!F33" display="Total"/>
    <hyperlink ref="F16" location="'Shareholding Pattern'!F33" display="Total"/>
  </hyperlink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sheetPr codeName="Sheet15">
    <tabColor rgb="FFB685DB"/>
  </sheetPr>
  <dimension ref="A1:XFC16"/>
  <sheetViews>
    <sheetView showGridLines="0" topLeftCell="A7" zoomScale="90" zoomScaleNormal="90" workbookViewId="0">
      <selection activeCell="E17" sqref="E17:AC17"/>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7" customWidth="1"/>
    <col min="14" max="14" width="17" hidden="1" customWidth="1"/>
    <col min="15" max="15" width="17.42578125" customWidth="1"/>
    <col min="16" max="16" width="9.28515625" customWidth="1"/>
    <col min="17" max="19" width="14.5703125" hidden="1" customWidth="1"/>
    <col min="20" max="20" width="19.140625" customWidth="1"/>
    <col min="21" max="21" width="15.42578125" hidden="1" customWidth="1"/>
    <col min="22" max="22" width="9" hidden="1" customWidth="1"/>
    <col min="23" max="23" width="15.42578125" customWidth="1"/>
    <col min="24" max="24" width="19.42578125" customWidth="1"/>
    <col min="25" max="25" width="3.7109375" customWidth="1"/>
    <col min="26" max="26" width="3.140625" customWidth="1"/>
    <col min="27" max="16383" width="3.85546875" hidden="1"/>
    <col min="16384" max="16384" width="4.570312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8" t="s">
        <v>137</v>
      </c>
      <c r="F9" s="521" t="s">
        <v>136</v>
      </c>
      <c r="G9" s="521" t="s">
        <v>1</v>
      </c>
      <c r="H9" s="521" t="s">
        <v>3</v>
      </c>
      <c r="I9" s="521" t="s">
        <v>4</v>
      </c>
      <c r="J9" s="521" t="s">
        <v>5</v>
      </c>
      <c r="K9" s="521" t="s">
        <v>6</v>
      </c>
      <c r="L9" s="521" t="s">
        <v>7</v>
      </c>
      <c r="M9" s="521" t="s">
        <v>8</v>
      </c>
      <c r="N9" s="521"/>
      <c r="O9" s="521"/>
      <c r="P9" s="521"/>
      <c r="Q9" s="521" t="s">
        <v>9</v>
      </c>
      <c r="R9" s="538" t="s">
        <v>505</v>
      </c>
      <c r="S9" s="538" t="s">
        <v>134</v>
      </c>
      <c r="T9" s="521" t="s">
        <v>107</v>
      </c>
      <c r="U9" s="521" t="s">
        <v>12</v>
      </c>
      <c r="V9" s="521"/>
      <c r="W9" s="521" t="s">
        <v>14</v>
      </c>
      <c r="X9" s="473" t="s">
        <v>499</v>
      </c>
      <c r="AR9" t="s">
        <v>404</v>
      </c>
    </row>
    <row r="10" spans="5:44" ht="31.5" customHeight="1">
      <c r="E10" s="536"/>
      <c r="F10" s="521"/>
      <c r="G10" s="521"/>
      <c r="H10" s="521"/>
      <c r="I10" s="521"/>
      <c r="J10" s="521"/>
      <c r="K10" s="521"/>
      <c r="L10" s="521"/>
      <c r="M10" s="521" t="s">
        <v>15</v>
      </c>
      <c r="N10" s="521"/>
      <c r="O10" s="521"/>
      <c r="P10" s="521" t="s">
        <v>16</v>
      </c>
      <c r="Q10" s="521"/>
      <c r="R10" s="536"/>
      <c r="S10" s="536"/>
      <c r="T10" s="521"/>
      <c r="U10" s="521"/>
      <c r="V10" s="521"/>
      <c r="W10" s="521"/>
      <c r="X10" s="521"/>
      <c r="AR10" t="s">
        <v>394</v>
      </c>
    </row>
    <row r="11" spans="5:44" ht="78.75" customHeight="1">
      <c r="E11" s="537"/>
      <c r="F11" s="521"/>
      <c r="G11" s="521"/>
      <c r="H11" s="521"/>
      <c r="I11" s="521"/>
      <c r="J11" s="521"/>
      <c r="K11" s="521"/>
      <c r="L11" s="521"/>
      <c r="M11" s="40" t="s">
        <v>17</v>
      </c>
      <c r="N11" s="40" t="s">
        <v>18</v>
      </c>
      <c r="O11" s="40" t="s">
        <v>19</v>
      </c>
      <c r="P11" s="521"/>
      <c r="Q11" s="521"/>
      <c r="R11" s="537"/>
      <c r="S11" s="537"/>
      <c r="T11" s="521"/>
      <c r="U11" s="40" t="s">
        <v>20</v>
      </c>
      <c r="V11" s="40" t="s">
        <v>21</v>
      </c>
      <c r="W11" s="521"/>
      <c r="X11" s="521"/>
      <c r="AR11" t="s">
        <v>405</v>
      </c>
    </row>
    <row r="12" spans="5:44" ht="15.75">
      <c r="E12" s="9" t="s">
        <v>90</v>
      </c>
      <c r="F12" s="52" t="s">
        <v>50</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c r="AR13" s="11" t="s">
        <v>397</v>
      </c>
    </row>
    <row r="14" spans="5:44" ht="24.95" customHeight="1">
      <c r="E14" s="42"/>
      <c r="F14" s="43"/>
      <c r="G14" s="265" t="s">
        <v>494</v>
      </c>
      <c r="H14" s="43"/>
      <c r="I14" s="43"/>
      <c r="J14" s="43"/>
      <c r="K14" s="43"/>
      <c r="L14" s="43"/>
      <c r="M14" s="43"/>
      <c r="N14" s="43"/>
      <c r="O14" s="43"/>
      <c r="P14" s="43"/>
      <c r="Q14" s="43"/>
      <c r="R14" s="43"/>
      <c r="S14" s="43"/>
      <c r="T14" s="43"/>
      <c r="U14" s="43"/>
      <c r="V14" s="43"/>
      <c r="W14" s="43"/>
      <c r="X14" s="44"/>
      <c r="AR14" t="s">
        <v>402</v>
      </c>
    </row>
    <row r="15" spans="5:44" ht="24.95" hidden="1" customHeight="1">
      <c r="E15" s="12"/>
      <c r="F15" s="13"/>
      <c r="G15" s="13"/>
      <c r="H15" s="13"/>
      <c r="I15" s="13"/>
      <c r="J15" s="13"/>
      <c r="K15" s="13"/>
      <c r="L15" s="13"/>
      <c r="M15" s="13"/>
      <c r="N15" s="13"/>
      <c r="O15" s="13"/>
      <c r="P15" s="13"/>
      <c r="Q15" s="13"/>
      <c r="R15" s="13"/>
      <c r="S15" s="13"/>
      <c r="T15" s="13"/>
      <c r="U15" s="13"/>
      <c r="V15" s="13"/>
      <c r="W15" s="198"/>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K9:K11"/>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4" display="Total"/>
    <hyperlink ref="F16" location="'Shareholding Pattern'!F34" display="Total"/>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sheetPr codeName="Sheet16">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7" customWidth="1"/>
    <col min="14" max="14" width="17.42578125" hidden="1" customWidth="1"/>
    <col min="15" max="15" width="18.28515625" customWidth="1"/>
    <col min="16" max="16" width="9.7109375" customWidth="1"/>
    <col min="17" max="19" width="14.5703125" hidden="1" customWidth="1"/>
    <col min="20" max="20" width="19.140625" customWidth="1"/>
    <col min="21" max="21" width="15.42578125" hidden="1" customWidth="1"/>
    <col min="22" max="22" width="9" hidden="1" customWidth="1"/>
    <col min="23" max="23" width="15.42578125" customWidth="1"/>
    <col min="24" max="24" width="18.7109375" customWidth="1"/>
    <col min="25" max="25" width="4" customWidth="1"/>
    <col min="26" max="26" width="3.28515625" customWidth="1"/>
    <col min="27" max="16383" width="2.85546875" hidden="1"/>
    <col min="16384" max="16384" width="4"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8" t="s">
        <v>137</v>
      </c>
      <c r="F9" s="521" t="s">
        <v>136</v>
      </c>
      <c r="G9" s="521" t="s">
        <v>1</v>
      </c>
      <c r="H9" s="521" t="s">
        <v>3</v>
      </c>
      <c r="I9" s="521" t="s">
        <v>4</v>
      </c>
      <c r="J9" s="521" t="s">
        <v>5</v>
      </c>
      <c r="K9" s="521" t="s">
        <v>6</v>
      </c>
      <c r="L9" s="521" t="s">
        <v>7</v>
      </c>
      <c r="M9" s="521" t="s">
        <v>8</v>
      </c>
      <c r="N9" s="521"/>
      <c r="O9" s="521"/>
      <c r="P9" s="521"/>
      <c r="Q9" s="521" t="s">
        <v>9</v>
      </c>
      <c r="R9" s="538" t="s">
        <v>505</v>
      </c>
      <c r="S9" s="538" t="s">
        <v>134</v>
      </c>
      <c r="T9" s="521" t="s">
        <v>107</v>
      </c>
      <c r="U9" s="521" t="s">
        <v>12</v>
      </c>
      <c r="V9" s="521"/>
      <c r="W9" s="521" t="s">
        <v>14</v>
      </c>
      <c r="X9" s="473" t="s">
        <v>499</v>
      </c>
      <c r="AR9" t="s">
        <v>404</v>
      </c>
    </row>
    <row r="10" spans="5:44" ht="31.5" customHeight="1">
      <c r="E10" s="536"/>
      <c r="F10" s="521"/>
      <c r="G10" s="521"/>
      <c r="H10" s="521"/>
      <c r="I10" s="521"/>
      <c r="J10" s="521"/>
      <c r="K10" s="521"/>
      <c r="L10" s="521"/>
      <c r="M10" s="521" t="s">
        <v>15</v>
      </c>
      <c r="N10" s="521"/>
      <c r="O10" s="521"/>
      <c r="P10" s="521" t="s">
        <v>16</v>
      </c>
      <c r="Q10" s="521"/>
      <c r="R10" s="536"/>
      <c r="S10" s="536"/>
      <c r="T10" s="521"/>
      <c r="U10" s="521"/>
      <c r="V10" s="521"/>
      <c r="W10" s="521"/>
      <c r="X10" s="521"/>
      <c r="AR10" t="s">
        <v>394</v>
      </c>
    </row>
    <row r="11" spans="5:44" ht="78.75" customHeight="1">
      <c r="E11" s="537"/>
      <c r="F11" s="521"/>
      <c r="G11" s="521"/>
      <c r="H11" s="521"/>
      <c r="I11" s="521"/>
      <c r="J11" s="521"/>
      <c r="K11" s="521"/>
      <c r="L11" s="521"/>
      <c r="M11" s="40" t="s">
        <v>17</v>
      </c>
      <c r="N11" s="40" t="s">
        <v>18</v>
      </c>
      <c r="O11" s="40" t="s">
        <v>19</v>
      </c>
      <c r="P11" s="521"/>
      <c r="Q11" s="521"/>
      <c r="R11" s="537"/>
      <c r="S11" s="537"/>
      <c r="T11" s="521"/>
      <c r="U11" s="40" t="s">
        <v>20</v>
      </c>
      <c r="V11" s="40" t="s">
        <v>21</v>
      </c>
      <c r="W11" s="521"/>
      <c r="X11" s="521"/>
      <c r="AR11" t="s">
        <v>405</v>
      </c>
    </row>
    <row r="12" spans="5:44" ht="18.75" customHeight="1">
      <c r="E12" s="9" t="s">
        <v>94</v>
      </c>
      <c r="F12" s="52" t="s">
        <v>31</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c r="AR13" s="11" t="s">
        <v>397</v>
      </c>
    </row>
    <row r="14" spans="5:44" ht="24.95" customHeight="1">
      <c r="E14" s="42"/>
      <c r="F14" s="43"/>
      <c r="G14" s="265" t="s">
        <v>494</v>
      </c>
      <c r="H14" s="43"/>
      <c r="I14" s="43"/>
      <c r="J14" s="43"/>
      <c r="K14" s="43"/>
      <c r="L14" s="43"/>
      <c r="M14" s="43"/>
      <c r="N14" s="43"/>
      <c r="O14" s="43"/>
      <c r="P14" s="43"/>
      <c r="Q14" s="43"/>
      <c r="R14" s="43"/>
      <c r="S14" s="43"/>
      <c r="T14" s="43"/>
      <c r="U14" s="43"/>
      <c r="V14" s="43"/>
      <c r="W14" s="43"/>
      <c r="X14" s="44"/>
      <c r="AR14" t="s">
        <v>402</v>
      </c>
    </row>
    <row r="15" spans="5:44" ht="20.100000000000001" hidden="1" customHeight="1">
      <c r="E15" s="12"/>
      <c r="F15" s="13"/>
      <c r="G15" s="13"/>
      <c r="H15" s="13"/>
      <c r="I15" s="13"/>
      <c r="J15" s="13"/>
      <c r="K15" s="13"/>
      <c r="L15" s="13"/>
      <c r="M15" s="13"/>
      <c r="N15" s="13"/>
      <c r="O15" s="13"/>
      <c r="P15" s="13"/>
      <c r="Q15" s="13"/>
      <c r="R15" s="13"/>
      <c r="S15" s="13"/>
      <c r="T15" s="13"/>
      <c r="U15" s="13"/>
      <c r="V15" s="13"/>
      <c r="W15" s="198"/>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X9:X11"/>
    <mergeCell ref="M10:O10"/>
    <mergeCell ref="P10:P11"/>
    <mergeCell ref="J9:J11"/>
    <mergeCell ref="K9:K11"/>
    <mergeCell ref="L9:L11"/>
    <mergeCell ref="M9:P9"/>
    <mergeCell ref="Q9:Q11"/>
    <mergeCell ref="R9:R11"/>
    <mergeCell ref="U9:V10"/>
    <mergeCell ref="W9:W11"/>
    <mergeCell ref="T9:T11"/>
    <mergeCell ref="S9:S11"/>
    <mergeCell ref="E9:E11"/>
    <mergeCell ref="F9:F11"/>
    <mergeCell ref="G9:G11"/>
    <mergeCell ref="H9:H11"/>
    <mergeCell ref="I9:I11"/>
  </mergeCells>
  <dataValidations count="4">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5" display="Total"/>
    <hyperlink ref="F16" location="'Shareholding Pattern'!F35" display="Total"/>
  </hyperlink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sheetPr codeName="Sheet17">
    <tabColor rgb="FFB685DB"/>
  </sheetPr>
  <dimension ref="A1:XFC16"/>
  <sheetViews>
    <sheetView showGridLines="0" topLeftCell="A7" zoomScale="85" zoomScaleNormal="85" workbookViewId="0">
      <selection activeCell="E15" sqref="E15:AC15"/>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8.28515625" customWidth="1"/>
    <col min="14" max="14" width="16.5703125" hidden="1" customWidth="1"/>
    <col min="15" max="15" width="16.42578125" customWidth="1"/>
    <col min="16" max="16" width="9.85546875" customWidth="1"/>
    <col min="17" max="19" width="14.5703125" hidden="1" customWidth="1"/>
    <col min="20" max="20" width="19.140625" customWidth="1"/>
    <col min="21" max="21" width="15.42578125" hidden="1" customWidth="1"/>
    <col min="22" max="22" width="9.28515625" hidden="1" customWidth="1"/>
    <col min="23" max="23" width="15.42578125" customWidth="1"/>
    <col min="24" max="24" width="19.42578125" customWidth="1"/>
    <col min="25" max="25" width="2.85546875" customWidth="1"/>
    <col min="26" max="26" width="2.5703125" customWidth="1"/>
    <col min="27" max="16383" width="5.7109375" hidden="1"/>
    <col min="16384" max="16384" width="2.710937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8" t="s">
        <v>137</v>
      </c>
      <c r="F9" s="521" t="s">
        <v>136</v>
      </c>
      <c r="G9" s="521" t="s">
        <v>1</v>
      </c>
      <c r="H9" s="521" t="s">
        <v>3</v>
      </c>
      <c r="I9" s="521" t="s">
        <v>4</v>
      </c>
      <c r="J9" s="521" t="s">
        <v>5</v>
      </c>
      <c r="K9" s="521" t="s">
        <v>6</v>
      </c>
      <c r="L9" s="521" t="s">
        <v>7</v>
      </c>
      <c r="M9" s="521" t="s">
        <v>8</v>
      </c>
      <c r="N9" s="521"/>
      <c r="O9" s="521"/>
      <c r="P9" s="521"/>
      <c r="Q9" s="521" t="s">
        <v>9</v>
      </c>
      <c r="R9" s="538" t="s">
        <v>505</v>
      </c>
      <c r="S9" s="538" t="s">
        <v>134</v>
      </c>
      <c r="T9" s="521" t="s">
        <v>107</v>
      </c>
      <c r="U9" s="521" t="s">
        <v>12</v>
      </c>
      <c r="V9" s="521"/>
      <c r="W9" s="521" t="s">
        <v>14</v>
      </c>
      <c r="X9" s="473" t="s">
        <v>499</v>
      </c>
      <c r="AR9" t="s">
        <v>404</v>
      </c>
    </row>
    <row r="10" spans="5:44" ht="31.5" customHeight="1">
      <c r="E10" s="536"/>
      <c r="F10" s="521"/>
      <c r="G10" s="521"/>
      <c r="H10" s="521"/>
      <c r="I10" s="521"/>
      <c r="J10" s="521"/>
      <c r="K10" s="521"/>
      <c r="L10" s="521"/>
      <c r="M10" s="521" t="s">
        <v>15</v>
      </c>
      <c r="N10" s="521"/>
      <c r="O10" s="521"/>
      <c r="P10" s="521" t="s">
        <v>16</v>
      </c>
      <c r="Q10" s="521"/>
      <c r="R10" s="536"/>
      <c r="S10" s="536"/>
      <c r="T10" s="521"/>
      <c r="U10" s="521"/>
      <c r="V10" s="521"/>
      <c r="W10" s="521"/>
      <c r="X10" s="521"/>
      <c r="AR10" t="s">
        <v>394</v>
      </c>
    </row>
    <row r="11" spans="5:44" ht="78.75" customHeight="1">
      <c r="E11" s="537"/>
      <c r="F11" s="521"/>
      <c r="G11" s="521"/>
      <c r="H11" s="521"/>
      <c r="I11" s="521"/>
      <c r="J11" s="521"/>
      <c r="K11" s="521"/>
      <c r="L11" s="521"/>
      <c r="M11" s="40" t="s">
        <v>17</v>
      </c>
      <c r="N11" s="40" t="s">
        <v>18</v>
      </c>
      <c r="O11" s="40" t="s">
        <v>19</v>
      </c>
      <c r="P11" s="521"/>
      <c r="Q11" s="521"/>
      <c r="R11" s="537"/>
      <c r="S11" s="537"/>
      <c r="T11" s="521"/>
      <c r="U11" s="40" t="s">
        <v>20</v>
      </c>
      <c r="V11" s="40" t="s">
        <v>21</v>
      </c>
      <c r="W11" s="521"/>
      <c r="X11" s="521"/>
      <c r="AR11" t="s">
        <v>405</v>
      </c>
    </row>
    <row r="12" spans="5:44" ht="15.75" customHeight="1">
      <c r="E12" s="9" t="s">
        <v>91</v>
      </c>
      <c r="F12" s="103" t="s">
        <v>53</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c r="AR13" s="11" t="s">
        <v>397</v>
      </c>
    </row>
    <row r="14" spans="5:44" ht="24.95" customHeight="1">
      <c r="E14" s="42"/>
      <c r="F14" s="43"/>
      <c r="G14" s="265" t="s">
        <v>497</v>
      </c>
      <c r="H14" s="43"/>
      <c r="I14" s="43"/>
      <c r="J14" s="43"/>
      <c r="K14" s="43"/>
      <c r="L14" s="43"/>
      <c r="M14" s="43"/>
      <c r="N14" s="43"/>
      <c r="O14" s="43"/>
      <c r="P14" s="43"/>
      <c r="Q14" s="43"/>
      <c r="R14" s="43"/>
      <c r="S14" s="43"/>
      <c r="T14" s="43"/>
      <c r="U14" s="43"/>
      <c r="V14" s="43"/>
      <c r="W14" s="43"/>
      <c r="X14" s="44"/>
      <c r="AR14" t="s">
        <v>402</v>
      </c>
    </row>
    <row r="15" spans="5:44" ht="20.100000000000001" hidden="1" customHeight="1">
      <c r="E15" s="12"/>
      <c r="F15" s="13"/>
      <c r="G15" s="13"/>
      <c r="H15" s="13"/>
      <c r="I15" s="13"/>
      <c r="J15" s="13"/>
      <c r="K15" s="13"/>
      <c r="L15" s="13"/>
      <c r="M15" s="13"/>
      <c r="N15" s="13"/>
      <c r="O15" s="13"/>
      <c r="P15" s="13"/>
      <c r="Q15" s="13"/>
      <c r="R15" s="13"/>
      <c r="S15" s="13"/>
      <c r="T15" s="13"/>
      <c r="U15" s="13"/>
      <c r="V15" s="13"/>
      <c r="W15" s="198"/>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K9:K11"/>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6" display="Total"/>
    <hyperlink ref="F16" location="'Shareholding Pattern'!F36" display="Total"/>
  </hyperlink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sheetPr codeName="Sheet18">
    <tabColor rgb="FFB685DB"/>
    <pageSetUpPr fitToPage="1"/>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7109375" customWidth="1"/>
    <col min="14" max="14" width="15.7109375" hidden="1" customWidth="1"/>
    <col min="15" max="15" width="17.7109375" customWidth="1"/>
    <col min="16" max="16" width="9.42578125" customWidth="1"/>
    <col min="17" max="19" width="14.5703125" hidden="1" customWidth="1"/>
    <col min="20" max="20" width="19.140625" customWidth="1"/>
    <col min="21" max="21" width="15.42578125" hidden="1" customWidth="1"/>
    <col min="22" max="22" width="8.140625" hidden="1" customWidth="1"/>
    <col min="23" max="23" width="15.42578125" customWidth="1"/>
    <col min="24" max="24" width="16.85546875" customWidth="1"/>
    <col min="25" max="25" width="3.5703125" customWidth="1"/>
    <col min="26" max="26" width="3.42578125" customWidth="1"/>
    <col min="27" max="16383" width="20.28515625" hidden="1"/>
    <col min="16384" max="16384" width="7.14062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8" t="s">
        <v>137</v>
      </c>
      <c r="F9" s="473" t="s">
        <v>136</v>
      </c>
      <c r="G9" s="521" t="s">
        <v>1</v>
      </c>
      <c r="H9" s="473" t="s">
        <v>3</v>
      </c>
      <c r="I9" s="521" t="s">
        <v>4</v>
      </c>
      <c r="J9" s="521" t="s">
        <v>5</v>
      </c>
      <c r="K9" s="521" t="s">
        <v>6</v>
      </c>
      <c r="L9" s="521" t="s">
        <v>7</v>
      </c>
      <c r="M9" s="521" t="s">
        <v>8</v>
      </c>
      <c r="N9" s="521"/>
      <c r="O9" s="521"/>
      <c r="P9" s="521"/>
      <c r="Q9" s="538" t="s">
        <v>505</v>
      </c>
      <c r="R9" s="521" t="s">
        <v>10</v>
      </c>
      <c r="S9" s="538" t="s">
        <v>134</v>
      </c>
      <c r="T9" s="521" t="s">
        <v>107</v>
      </c>
      <c r="U9" s="521" t="s">
        <v>12</v>
      </c>
      <c r="V9" s="521"/>
      <c r="W9" s="521" t="s">
        <v>14</v>
      </c>
      <c r="X9" s="473" t="s">
        <v>499</v>
      </c>
      <c r="AR9" t="s">
        <v>404</v>
      </c>
    </row>
    <row r="10" spans="5:44" ht="31.5" customHeight="1">
      <c r="E10" s="536"/>
      <c r="F10" s="521"/>
      <c r="G10" s="521"/>
      <c r="H10" s="521"/>
      <c r="I10" s="521"/>
      <c r="J10" s="521"/>
      <c r="K10" s="521"/>
      <c r="L10" s="521"/>
      <c r="M10" s="521" t="s">
        <v>15</v>
      </c>
      <c r="N10" s="521"/>
      <c r="O10" s="521"/>
      <c r="P10" s="521" t="s">
        <v>16</v>
      </c>
      <c r="Q10" s="536"/>
      <c r="R10" s="521"/>
      <c r="S10" s="536"/>
      <c r="T10" s="521"/>
      <c r="U10" s="521"/>
      <c r="V10" s="521"/>
      <c r="W10" s="521"/>
      <c r="X10" s="521"/>
      <c r="AR10" t="s">
        <v>394</v>
      </c>
    </row>
    <row r="11" spans="5:44" ht="78.75" customHeight="1">
      <c r="E11" s="537"/>
      <c r="F11" s="521"/>
      <c r="G11" s="521"/>
      <c r="H11" s="521"/>
      <c r="I11" s="521"/>
      <c r="J11" s="521"/>
      <c r="K11" s="521"/>
      <c r="L11" s="521"/>
      <c r="M11" s="40" t="s">
        <v>17</v>
      </c>
      <c r="N11" s="40" t="s">
        <v>18</v>
      </c>
      <c r="O11" s="40" t="s">
        <v>19</v>
      </c>
      <c r="P11" s="521"/>
      <c r="Q11" s="537"/>
      <c r="R11" s="521"/>
      <c r="S11" s="537"/>
      <c r="T11" s="521"/>
      <c r="U11" s="40" t="s">
        <v>20</v>
      </c>
      <c r="V11" s="40" t="s">
        <v>21</v>
      </c>
      <c r="W11" s="521"/>
      <c r="X11" s="521"/>
      <c r="AR11" t="s">
        <v>405</v>
      </c>
    </row>
    <row r="12" spans="5:44" ht="20.25" customHeight="1">
      <c r="E12" s="9" t="s">
        <v>92</v>
      </c>
      <c r="F12" s="52" t="s">
        <v>55</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c r="AR13" s="11" t="s">
        <v>397</v>
      </c>
    </row>
    <row r="14" spans="5:44" ht="24.95" customHeight="1">
      <c r="E14" s="42"/>
      <c r="F14" s="43"/>
      <c r="G14" s="265" t="s">
        <v>494</v>
      </c>
      <c r="H14" s="43"/>
      <c r="I14" s="43"/>
      <c r="J14" s="43"/>
      <c r="K14" s="43"/>
      <c r="L14" s="43"/>
      <c r="M14" s="43"/>
      <c r="N14" s="43"/>
      <c r="O14" s="43"/>
      <c r="P14" s="43"/>
      <c r="Q14" s="43"/>
      <c r="R14" s="43"/>
      <c r="S14" s="43"/>
      <c r="T14" s="43"/>
      <c r="U14" s="43"/>
      <c r="V14" s="43"/>
      <c r="W14" s="43"/>
      <c r="X14" s="44"/>
      <c r="AR14" t="s">
        <v>402</v>
      </c>
    </row>
    <row r="15" spans="5:44" ht="15" hidden="1" customHeight="1">
      <c r="E15" s="12"/>
      <c r="F15" s="13"/>
      <c r="G15" s="13"/>
      <c r="H15" s="13"/>
      <c r="I15" s="13"/>
      <c r="J15" s="13"/>
      <c r="K15" s="13"/>
      <c r="L15" s="13"/>
      <c r="M15" s="13"/>
      <c r="N15" s="13"/>
      <c r="O15" s="13"/>
      <c r="P15" s="13"/>
      <c r="Q15" s="13"/>
      <c r="R15" s="13"/>
      <c r="S15" s="13"/>
      <c r="T15" s="13"/>
      <c r="U15" s="13"/>
      <c r="V15" s="13"/>
      <c r="W15" s="198"/>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K9:K11"/>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s>
  <dataValidations count="5">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formula1>0</formula1>
    </dataValidation>
    <dataValidation type="whole" operator="greaterThanOrEqual" allowBlank="1" showInputMessage="1" showErrorMessage="1" sqref="H13:J13">
      <formula1>0</formula1>
    </dataValidation>
  </dataValidations>
  <hyperlinks>
    <hyperlink ref="G16" location="'Shareholding Pattern'!F37" display="Total"/>
    <hyperlink ref="F16" location="'Shareholding Pattern'!F37" display="Total"/>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25.xml><?xml version="1.0" encoding="utf-8"?>
<worksheet xmlns="http://schemas.openxmlformats.org/spreadsheetml/2006/main" xmlns:r="http://schemas.openxmlformats.org/officeDocument/2006/relationships">
  <sheetPr codeName="Sheet19">
    <tabColor rgb="FFB685DB"/>
  </sheetPr>
  <dimension ref="A1:XFC16"/>
  <sheetViews>
    <sheetView showGridLines="0" topLeftCell="D7" zoomScale="90" zoomScaleNormal="90" workbookViewId="0">
      <selection activeCell="F16" sqref="F16"/>
    </sheetView>
  </sheetViews>
  <sheetFormatPr defaultColWidth="0" defaultRowHeight="15"/>
  <cols>
    <col min="1" max="1" width="2.28515625" customWidth="1"/>
    <col min="2" max="2" width="2.140625" hidden="1" customWidth="1"/>
    <col min="3" max="3" width="2" hidden="1" customWidth="1"/>
    <col min="4" max="4" width="7.140625" customWidth="1"/>
    <col min="5" max="5" width="35.7109375" customWidth="1"/>
    <col min="6" max="7" width="38.5703125" customWidth="1"/>
    <col min="8" max="8" width="13.7109375" customWidth="1"/>
    <col min="9" max="10" width="14.5703125" customWidth="1"/>
    <col min="11" max="11" width="14.5703125" hidden="1" customWidth="1"/>
    <col min="12" max="12" width="15.5703125" hidden="1" customWidth="1"/>
    <col min="13" max="13" width="15" customWidth="1"/>
    <col min="14" max="14" width="15.42578125" customWidth="1"/>
    <col min="15" max="15" width="16" customWidth="1"/>
    <col min="16" max="16" width="16.42578125" hidden="1" customWidth="1"/>
    <col min="17" max="17" width="15.28515625" customWidth="1"/>
    <col min="18" max="18" width="13" customWidth="1"/>
    <col min="19" max="20" width="14.5703125" hidden="1" customWidth="1"/>
    <col min="21" max="21" width="19.140625" hidden="1" customWidth="1"/>
    <col min="22" max="22" width="15.42578125" customWidth="1"/>
    <col min="23" max="23" width="13" hidden="1" customWidth="1"/>
    <col min="24" max="24" width="8.28515625" hidden="1" customWidth="1"/>
    <col min="25" max="25" width="14.5703125" customWidth="1"/>
    <col min="26" max="26" width="16.85546875" customWidth="1"/>
    <col min="27" max="27" width="4.28515625" customWidth="1"/>
    <col min="28" max="28" width="2.5703125" hidden="1"/>
    <col min="29" max="16383" width="5.140625" hidden="1"/>
    <col min="16384" max="16384" width="4.140625" hidden="1"/>
  </cols>
  <sheetData>
    <row r="1" spans="4:57" hidden="1">
      <c r="I1">
        <v>0</v>
      </c>
      <c r="AR1" t="s">
        <v>443</v>
      </c>
      <c r="AS1" t="s">
        <v>444</v>
      </c>
      <c r="AT1" t="s">
        <v>445</v>
      </c>
      <c r="AU1" t="s">
        <v>446</v>
      </c>
      <c r="AV1" t="s">
        <v>523</v>
      </c>
      <c r="AW1" t="s">
        <v>498</v>
      </c>
      <c r="AX1" t="s">
        <v>525</v>
      </c>
      <c r="AY1" t="s">
        <v>526</v>
      </c>
      <c r="AZ1" t="s">
        <v>527</v>
      </c>
      <c r="BA1" t="s">
        <v>400</v>
      </c>
      <c r="BB1" t="s">
        <v>395</v>
      </c>
      <c r="BC1" t="s">
        <v>528</v>
      </c>
      <c r="BD1" t="s">
        <v>524</v>
      </c>
      <c r="BE1" t="s">
        <v>401</v>
      </c>
    </row>
    <row r="2" spans="4:57" hidden="1">
      <c r="E2" t="s">
        <v>349</v>
      </c>
      <c r="F2" t="s">
        <v>435</v>
      </c>
      <c r="G2" t="s">
        <v>249</v>
      </c>
      <c r="H2" t="s">
        <v>420</v>
      </c>
      <c r="I2" t="s">
        <v>144</v>
      </c>
      <c r="J2" t="s">
        <v>165</v>
      </c>
      <c r="K2" t="s">
        <v>166</v>
      </c>
      <c r="L2" t="s">
        <v>167</v>
      </c>
      <c r="M2" t="s">
        <v>168</v>
      </c>
      <c r="N2" t="s">
        <v>169</v>
      </c>
      <c r="O2" t="s">
        <v>170</v>
      </c>
      <c r="P2" t="s">
        <v>171</v>
      </c>
      <c r="Q2" t="s">
        <v>172</v>
      </c>
      <c r="R2" t="s">
        <v>173</v>
      </c>
      <c r="S2" t="s">
        <v>174</v>
      </c>
      <c r="T2" t="s">
        <v>175</v>
      </c>
      <c r="U2" t="s">
        <v>176</v>
      </c>
      <c r="V2" t="s">
        <v>177</v>
      </c>
      <c r="W2" t="s">
        <v>178</v>
      </c>
      <c r="X2" t="s">
        <v>179</v>
      </c>
      <c r="Y2" t="s">
        <v>182</v>
      </c>
      <c r="Z2" t="s">
        <v>499</v>
      </c>
    </row>
    <row r="3" spans="4:57" hidden="1">
      <c r="I3" t="str">
        <f>+IFERROR(IF(COUNT(I13:I15),ROUND(SUMIF($F$13:I15,"Category",I13:I15),0),""),"")</f>
        <v/>
      </c>
      <c r="J3" t="str">
        <f>+IFERROR(IF(COUNT(J13:J15),ROUND(SUMIF($F$13:J15,"Category",J13:J15),0),""),"")</f>
        <v/>
      </c>
      <c r="K3" t="str">
        <f>+IFERROR(IF(COUNT(K13:K15),ROUND(SUMIF($F$13:K15,"Category",K13:K15),0),""),"")</f>
        <v/>
      </c>
      <c r="L3" t="str">
        <f>+IFERROR(IF(COUNT(L13:L15),ROUND(SUMIF($F$13:L15,"Category",L13:L15),0),""),"")</f>
        <v/>
      </c>
      <c r="M3" t="str">
        <f>+IFERROR(IF(COUNT(M13:M15),ROUND(SUMIF($F$13:M15,"Category",M13:M15),0),""),"")</f>
        <v/>
      </c>
      <c r="N3" t="str">
        <f>+IFERROR(IF(COUNT(N13:N15),ROUND(SUMIF($F$13:N15,"Category",N13:N15),2),""),"")</f>
        <v/>
      </c>
      <c r="O3" t="str">
        <f>+IFERROR(IF(COUNT(O13:O15),ROUND(SUMIF($F$13:O15,"Category",O13:O15),2),""),"")</f>
        <v/>
      </c>
      <c r="P3" t="str">
        <f>+IFERROR(IF(COUNT(P13:P15),ROUND(SUMIF($F$13:P15,"Category",P13:P15),0),""),"")</f>
        <v/>
      </c>
      <c r="Q3" t="str">
        <f>+IFERROR(IF(COUNT(Q13:Q15),ROUND(SUMIF($F$13:Q15,"Category",Q13:Q15),0),""),"")</f>
        <v/>
      </c>
      <c r="R3" t="str">
        <f>+IFERROR(IF(COUNT(R13:R15),ROUND(SUMIF($F$13:R15,"Category",R13:R15),2),""),"")</f>
        <v/>
      </c>
      <c r="S3" t="str">
        <f>+IFERROR(IF(COUNT(S13:S15),ROUND(SUMIF($F$13:S15,"Category",S13:S15),0),""),"")</f>
        <v/>
      </c>
      <c r="T3" t="str">
        <f>+IFERROR(IF(COUNT(T13:T15),ROUND(SUMIF($F$13:T15,"Category",T13:T15),0),""),"")</f>
        <v/>
      </c>
      <c r="U3" t="str">
        <f>+IFERROR(IF(COUNT(U13:U15),ROUND(SUMIF($F$13:U15,"Category",U13:U15),0),""),"")</f>
        <v/>
      </c>
      <c r="V3" t="str">
        <f>+IFERROR(IF(COUNT(V13:V15),ROUND(SUMIF($F$13:V15,"Category",V13:V15),2),""),"")</f>
        <v/>
      </c>
      <c r="W3" t="str">
        <f>+IFERROR(IF(COUNT(W13:W15),ROUND(SUMIF($F$13:W15,"Category",W13:W15),0),""),"")</f>
        <v/>
      </c>
      <c r="X3" t="str">
        <f>+IFERROR(IF(COUNT(X13:X15),ROUND(SUMIF($F$13:X15,"Category",X13:X15),2),""),"")</f>
        <v/>
      </c>
      <c r="Y3" t="str">
        <f>+IFERROR(IF(COUNT(Y13:Y15),ROUND(SUMIF($F$13:Y15,"Category",Y13:Y15),0),""),"")</f>
        <v/>
      </c>
    </row>
    <row r="4" spans="4:57" hidden="1">
      <c r="AF4" s="63" t="s">
        <v>403</v>
      </c>
    </row>
    <row r="5" spans="4:57" hidden="1">
      <c r="AF5" s="63" t="s">
        <v>393</v>
      </c>
    </row>
    <row r="6" spans="4:57" hidden="1">
      <c r="AF6" s="63" t="s">
        <v>404</v>
      </c>
    </row>
    <row r="7" spans="4:57">
      <c r="AF7" s="63" t="s">
        <v>394</v>
      </c>
    </row>
    <row r="8" spans="4:57">
      <c r="AF8" s="63" t="s">
        <v>405</v>
      </c>
    </row>
    <row r="9" spans="4:57" ht="29.25" customHeight="1">
      <c r="D9" s="538" t="s">
        <v>137</v>
      </c>
      <c r="E9" s="538" t="s">
        <v>34</v>
      </c>
      <c r="F9" s="538" t="s">
        <v>434</v>
      </c>
      <c r="G9" s="480" t="s">
        <v>136</v>
      </c>
      <c r="H9" s="521" t="s">
        <v>1</v>
      </c>
      <c r="I9" s="480" t="s">
        <v>426</v>
      </c>
      <c r="J9" s="521" t="s">
        <v>3</v>
      </c>
      <c r="K9" s="521" t="s">
        <v>4</v>
      </c>
      <c r="L9" s="521" t="s">
        <v>5</v>
      </c>
      <c r="M9" s="521" t="s">
        <v>6</v>
      </c>
      <c r="N9" s="521" t="s">
        <v>7</v>
      </c>
      <c r="O9" s="521" t="s">
        <v>8</v>
      </c>
      <c r="P9" s="521"/>
      <c r="Q9" s="521"/>
      <c r="R9" s="521"/>
      <c r="S9" s="521" t="s">
        <v>9</v>
      </c>
      <c r="T9" s="538" t="s">
        <v>505</v>
      </c>
      <c r="U9" s="538" t="s">
        <v>138</v>
      </c>
      <c r="V9" s="521" t="s">
        <v>107</v>
      </c>
      <c r="W9" s="521" t="s">
        <v>12</v>
      </c>
      <c r="X9" s="521"/>
      <c r="Y9" s="521" t="s">
        <v>14</v>
      </c>
      <c r="Z9" s="473" t="s">
        <v>499</v>
      </c>
      <c r="AG9" s="63" t="s">
        <v>406</v>
      </c>
      <c r="AV9" t="s">
        <v>34</v>
      </c>
    </row>
    <row r="10" spans="4:57" ht="31.5" customHeight="1">
      <c r="D10" s="536"/>
      <c r="E10" s="536"/>
      <c r="F10" s="536"/>
      <c r="G10" s="481"/>
      <c r="H10" s="521"/>
      <c r="I10" s="536"/>
      <c r="J10" s="521"/>
      <c r="K10" s="521"/>
      <c r="L10" s="521"/>
      <c r="M10" s="521"/>
      <c r="N10" s="521"/>
      <c r="O10" s="521" t="s">
        <v>15</v>
      </c>
      <c r="P10" s="521"/>
      <c r="Q10" s="521"/>
      <c r="R10" s="521" t="s">
        <v>16</v>
      </c>
      <c r="S10" s="521"/>
      <c r="T10" s="536"/>
      <c r="U10" s="533"/>
      <c r="V10" s="521"/>
      <c r="W10" s="521"/>
      <c r="X10" s="521"/>
      <c r="Y10" s="521"/>
      <c r="Z10" s="521"/>
      <c r="AG10" s="63" t="s">
        <v>397</v>
      </c>
      <c r="AV10" t="s">
        <v>437</v>
      </c>
    </row>
    <row r="11" spans="4:57" ht="75">
      <c r="D11" s="537"/>
      <c r="E11" s="537"/>
      <c r="F11" s="537"/>
      <c r="G11" s="482"/>
      <c r="H11" s="521"/>
      <c r="I11" s="537"/>
      <c r="J11" s="521"/>
      <c r="K11" s="521"/>
      <c r="L11" s="521"/>
      <c r="M11" s="521"/>
      <c r="N11" s="521"/>
      <c r="O11" s="40" t="s">
        <v>17</v>
      </c>
      <c r="P11" s="40" t="s">
        <v>18</v>
      </c>
      <c r="Q11" s="40" t="s">
        <v>19</v>
      </c>
      <c r="R11" s="521"/>
      <c r="S11" s="521"/>
      <c r="T11" s="537"/>
      <c r="U11" s="534"/>
      <c r="V11" s="521"/>
      <c r="W11" s="40" t="s">
        <v>20</v>
      </c>
      <c r="X11" s="40" t="s">
        <v>21</v>
      </c>
      <c r="Y11" s="521"/>
      <c r="Z11" s="521"/>
      <c r="AG11" s="63" t="s">
        <v>402</v>
      </c>
    </row>
    <row r="12" spans="4:57" ht="15.75">
      <c r="D12" s="9" t="s">
        <v>93</v>
      </c>
      <c r="E12" s="81" t="s">
        <v>33</v>
      </c>
      <c r="F12" s="82"/>
      <c r="G12" s="30"/>
      <c r="H12" s="30"/>
      <c r="I12" s="30"/>
      <c r="J12" s="30"/>
      <c r="K12" s="30"/>
      <c r="L12" s="30"/>
      <c r="M12" s="30"/>
      <c r="N12" s="30"/>
      <c r="O12" s="30"/>
      <c r="P12" s="30"/>
      <c r="Q12" s="30"/>
      <c r="R12" s="30"/>
      <c r="S12" s="30"/>
      <c r="T12" s="30"/>
      <c r="U12" s="30"/>
      <c r="V12" s="30"/>
      <c r="W12" s="30"/>
      <c r="X12" s="30"/>
      <c r="Y12" s="30"/>
      <c r="Z12" s="31"/>
      <c r="AF12" s="63" t="s">
        <v>407</v>
      </c>
    </row>
    <row r="13" spans="4:57" s="11" customFormat="1" ht="20.100000000000001" hidden="1" customHeight="1">
      <c r="D13" s="66"/>
      <c r="E13" s="75"/>
      <c r="F13" s="77"/>
      <c r="G13" s="77"/>
      <c r="H13" s="10"/>
      <c r="I13" s="16"/>
      <c r="J13" s="16"/>
      <c r="K13" s="47"/>
      <c r="L13" s="47"/>
      <c r="M13" s="238" t="str">
        <f>+IFERROR(IF(COUNT(J13:L13),ROUND(SUM(J13:L13),0),""),"")</f>
        <v/>
      </c>
      <c r="N13" s="236" t="str">
        <f>+IFERROR(IF(COUNT(M13),ROUND(M13/'Shareholding Pattern'!$L$57*100,2),""),"")</f>
        <v/>
      </c>
      <c r="O13" s="278" t="str">
        <f>IF(J13="","",J13)</f>
        <v/>
      </c>
      <c r="P13" s="207"/>
      <c r="Q13" s="237" t="str">
        <f>+IFERROR(IF(COUNT(O13:P13),ROUND(SUM(O13,P13),2),""),"")</f>
        <v/>
      </c>
      <c r="R13" s="236" t="str">
        <f>+IFERROR(IF(COUNT(Q13),ROUND(Q13/('Shareholding Pattern'!$P$58)*100,2),""),"")</f>
        <v/>
      </c>
      <c r="S13" s="47"/>
      <c r="T13" s="47"/>
      <c r="U13" s="239" t="str">
        <f>+IFERROR(IF(COUNT(S13:T13),ROUND(SUM(S13:T13),0),""),"")</f>
        <v/>
      </c>
      <c r="V13" s="236" t="str">
        <f>+IFERROR(IF(COUNT(M13,U13),ROUND(SUM(U13,M13)/SUM('Shareholding Pattern'!$L$57,'Shareholding Pattern'!$T$57)*100,2),""),"")</f>
        <v/>
      </c>
      <c r="W13" s="47"/>
      <c r="X13" s="236" t="str">
        <f>+IFERROR(IF(COUNT(W13),ROUND(SUM(W13)/SUM(M13)*100,2),""),0)</f>
        <v/>
      </c>
      <c r="Y13" s="16"/>
      <c r="Z13" s="282"/>
      <c r="AC13" s="11">
        <f>IF(SUM(H13:Y13)&gt;0,1,0)</f>
        <v>0</v>
      </c>
      <c r="AD13" s="11">
        <f>SUM(AC15:AC65535)</f>
        <v>0</v>
      </c>
      <c r="AF13" s="63" t="s">
        <v>401</v>
      </c>
    </row>
    <row r="14" spans="4:57" ht="24.95" customHeight="1">
      <c r="D14" s="45"/>
      <c r="E14" s="43"/>
      <c r="F14" s="43"/>
      <c r="G14" s="55"/>
      <c r="H14" s="43"/>
      <c r="I14" s="43"/>
      <c r="J14" s="43"/>
      <c r="K14" s="43"/>
      <c r="L14" s="43"/>
      <c r="M14" s="43"/>
      <c r="N14" s="43"/>
      <c r="O14" s="43"/>
      <c r="P14" s="43"/>
      <c r="Q14" s="43"/>
      <c r="R14" s="43"/>
      <c r="S14" s="43"/>
      <c r="T14" s="43"/>
      <c r="U14" s="43"/>
      <c r="V14" s="43"/>
      <c r="W14" s="43"/>
      <c r="Z14" s="44"/>
    </row>
    <row r="15" spans="4:57" hidden="1">
      <c r="D15" s="204"/>
      <c r="E15" s="18"/>
      <c r="F15" s="18"/>
      <c r="G15" s="18"/>
      <c r="H15" s="18"/>
      <c r="I15" s="18"/>
      <c r="J15" s="202"/>
      <c r="K15" s="202"/>
      <c r="L15" s="18"/>
      <c r="M15" s="18"/>
      <c r="N15" s="18"/>
      <c r="O15" s="18"/>
      <c r="P15" s="18"/>
      <c r="Q15" s="18"/>
      <c r="R15" s="18"/>
      <c r="S15" s="18"/>
      <c r="T15" s="18"/>
      <c r="U15" s="18"/>
      <c r="V15" s="18"/>
      <c r="W15" s="18"/>
      <c r="X15" s="203"/>
    </row>
    <row r="16" spans="4:57" ht="20.100000000000001" customHeight="1">
      <c r="D16" s="59"/>
      <c r="E16" s="36"/>
      <c r="F16" s="60" t="s">
        <v>450</v>
      </c>
      <c r="G16" s="36"/>
      <c r="H16" s="60" t="s">
        <v>19</v>
      </c>
      <c r="I16" s="64" t="str">
        <f>+IFERROR(IF(COUNT(I13:I15),ROUND(SUMIF($F$13:I15,"Category",I13:I15),0),""),"")</f>
        <v/>
      </c>
      <c r="J16" s="64" t="str">
        <f>+IFERROR(IF(COUNT(J13:J15),ROUND(SUMIF($F$13:J15,"Category",J13:J15),0),""),"")</f>
        <v/>
      </c>
      <c r="K16" s="64" t="str">
        <f>+IFERROR(IF(COUNT(K13:K15),ROUND(SUMIF($F$13:K15,"Category",K13:K15),0),""),"")</f>
        <v/>
      </c>
      <c r="L16" s="64" t="str">
        <f>+IFERROR(IF(COUNT(L13:L15),ROUND(SUMIF($F$13:L15,"Category",L13:L15),0),""),"")</f>
        <v/>
      </c>
      <c r="M16" s="64" t="str">
        <f>+IFERROR(IF(COUNT(M13:M15),ROUND(SUMIF($F$13:M15,"Category",M13:M15),0),""),"")</f>
        <v/>
      </c>
      <c r="N16" s="236" t="str">
        <f>+IFERROR(IF(COUNT(N13:N15),ROUND(SUMIF($F$13:N15,"Category",N13:N15),2),""),"")</f>
        <v/>
      </c>
      <c r="O16" s="78" t="str">
        <f>+IFERROR(IF(COUNT(O13:O15),ROUND(SUMIF($F$13:O15,"Category",O13:O15),0),""),"")</f>
        <v/>
      </c>
      <c r="P16" s="189" t="str">
        <f>+IFERROR(IF(COUNT(P13:P15),ROUND(SUMIF($F$13:P15,"Category",P13:P15),0),""),"")</f>
        <v/>
      </c>
      <c r="Q16" s="189" t="str">
        <f>+IFERROR(IF(COUNT(Q13:Q15),ROUND(SUMIF($F$13:Q15,"Category",Q13:Q15),0),""),"")</f>
        <v/>
      </c>
      <c r="R16" s="236" t="str">
        <f>+IFERROR(IF(COUNT(R13:R15),ROUND(SUMIF($F$13:R15,"Category",R13:R15),2),""),"")</f>
        <v/>
      </c>
      <c r="S16" s="64" t="str">
        <f>+IFERROR(IF(COUNT(S13:S15),ROUND(SUMIF($F$13:S15,"Category",S13:S15),0),""),"")</f>
        <v/>
      </c>
      <c r="T16" s="64" t="str">
        <f>+IFERROR(IF(COUNT(T13:T15),ROUND(SUMIF($F$13:T15,"Category",T13:T15),0),""),"")</f>
        <v/>
      </c>
      <c r="U16" s="64" t="str">
        <f>+IFERROR(IF(COUNT(U13:U15),ROUND(SUMIF($F$13:U15,"Category",U13:U15),0),""),"")</f>
        <v/>
      </c>
      <c r="V16" s="142" t="str">
        <f>+IFERROR(IF(COUNT(V13:V15),ROUND(SUMIF($F$13:V15,"Category",V13:V15),2),""),"")</f>
        <v/>
      </c>
      <c r="W16" s="64" t="str">
        <f>+IFERROR(IF(COUNT(W13:W15),ROUND(SUMIF($F$13:W15,"Category",W13:W15),0),""),"")</f>
        <v/>
      </c>
      <c r="X16" s="236" t="str">
        <f>+IFERROR(IF(COUNT(W16),ROUND(SUM(W16)/SUM(M16)*100,2),""),0)</f>
        <v/>
      </c>
      <c r="Y16" s="64" t="str">
        <f>+IFERROR(IF(COUNT(Y13:Y15),ROUND(SUMIF($F$13:Y15,"Category",Y13:Y15),0),""),"")</f>
        <v/>
      </c>
    </row>
  </sheetData>
  <sheetProtection sheet="1" objects="1" scenarios="1"/>
  <mergeCells count="21">
    <mergeCell ref="Z9:Z11"/>
    <mergeCell ref="M9:M11"/>
    <mergeCell ref="N9:N11"/>
    <mergeCell ref="O9:R9"/>
    <mergeCell ref="W9:X10"/>
    <mergeCell ref="Y9:Y11"/>
    <mergeCell ref="V9:V11"/>
    <mergeCell ref="T9:T11"/>
    <mergeCell ref="U9:U11"/>
    <mergeCell ref="O10:Q10"/>
    <mergeCell ref="S9:S11"/>
    <mergeCell ref="R10:R11"/>
    <mergeCell ref="K9:K11"/>
    <mergeCell ref="L9:L11"/>
    <mergeCell ref="J9:J11"/>
    <mergeCell ref="D9:D11"/>
    <mergeCell ref="E9:E11"/>
    <mergeCell ref="F9:F11"/>
    <mergeCell ref="H9:H11"/>
    <mergeCell ref="I9:I11"/>
    <mergeCell ref="G9:G11"/>
  </mergeCells>
  <dataValidations count="7">
    <dataValidation type="whole" operator="lessThanOrEqual" allowBlank="1" showInputMessage="1" showErrorMessage="1" sqref="Y13">
      <formula1>M13</formula1>
    </dataValidation>
    <dataValidation type="whole" operator="lessThanOrEqual" allowBlank="1" showInputMessage="1" showErrorMessage="1" sqref="W13">
      <formula1>J13</formula1>
    </dataValidation>
    <dataValidation type="whole" operator="greaterThanOrEqual" allowBlank="1" showInputMessage="1" showErrorMessage="1" sqref="O13:P13 J13:L13 S13:T13">
      <formula1>0</formula1>
    </dataValidation>
    <dataValidation type="textLength" operator="equal" allowBlank="1" showInputMessage="1" showErrorMessage="1" prompt="[A-Z][A-Z][A-Z][A-Z][A-Z][0-9][0-9][0-9][0-9][A-Z]_x000a__x000a_In absence of PAN write : ZZZZZ9999Z_x000a_" sqref="H13">
      <formula1>10</formula1>
    </dataValidation>
    <dataValidation type="whole" operator="greaterThan" allowBlank="1" showInputMessage="1" showErrorMessage="1" sqref="I13">
      <formula1>0</formula1>
    </dataValidation>
    <dataValidation type="list" allowBlank="1" showInputMessage="1" showErrorMessage="1" sqref="E13">
      <formula1>$AR$1:$BE$1</formula1>
    </dataValidation>
    <dataValidation type="list" allowBlank="1" showInputMessage="1" showErrorMessage="1" sqref="F13">
      <formula1>$AV$9:$AV$10</formula1>
    </dataValidation>
  </dataValidations>
  <hyperlinks>
    <hyperlink ref="H16" location="'Shareholding Pattern'!F38" display="Total"/>
    <hyperlink ref="F16" location="'Shareholding Pattern'!F38" display="Total"/>
  </hyperlinks>
  <pageMargins left="0.7" right="0.7" top="0.75" bottom="0.75" header="0.3" footer="0.3"/>
  <pageSetup orientation="portrait" r:id="rId1"/>
  <drawing r:id="rId2"/>
</worksheet>
</file>

<file path=xl/worksheets/sheet26.xml><?xml version="1.0" encoding="utf-8"?>
<worksheet xmlns="http://schemas.openxmlformats.org/spreadsheetml/2006/main" xmlns:r="http://schemas.openxmlformats.org/officeDocument/2006/relationships">
  <sheetPr codeName="Sheet20">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hidden="1" customWidth="1"/>
    <col min="3" max="4" width="2"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6.7109375" customWidth="1"/>
    <col min="13" max="13" width="15.42578125" customWidth="1"/>
    <col min="14" max="14" width="15.42578125" hidden="1" customWidth="1"/>
    <col min="15" max="15" width="17.42578125" customWidth="1"/>
    <col min="16" max="16" width="14.5703125" customWidth="1"/>
    <col min="17" max="17" width="15.5703125" hidden="1" customWidth="1"/>
    <col min="18" max="18" width="16.42578125" hidden="1" customWidth="1"/>
    <col min="19" max="19" width="13.7109375" hidden="1" customWidth="1"/>
    <col min="20" max="20" width="14.5703125" customWidth="1"/>
    <col min="21" max="21" width="14.5703125" hidden="1" customWidth="1"/>
    <col min="22" max="22" width="8.28515625" hidden="1" customWidth="1"/>
    <col min="23" max="23" width="15.5703125" customWidth="1"/>
    <col min="24" max="24" width="17.85546875" customWidth="1"/>
    <col min="25" max="25" width="3.85546875" customWidth="1"/>
    <col min="26" max="26" width="5.140625" customWidth="1"/>
    <col min="27" max="16383" width="21.5703125" hidden="1"/>
    <col min="16384" max="16384" width="1.8554687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38" t="s">
        <v>137</v>
      </c>
      <c r="F9" s="521" t="s">
        <v>136</v>
      </c>
      <c r="G9" s="521" t="s">
        <v>1</v>
      </c>
      <c r="H9" s="521" t="s">
        <v>3</v>
      </c>
      <c r="I9" s="521" t="s">
        <v>4</v>
      </c>
      <c r="J9" s="521" t="s">
        <v>5</v>
      </c>
      <c r="K9" s="521" t="s">
        <v>6</v>
      </c>
      <c r="L9" s="521" t="s">
        <v>7</v>
      </c>
      <c r="M9" s="521" t="s">
        <v>8</v>
      </c>
      <c r="N9" s="521"/>
      <c r="O9" s="521"/>
      <c r="P9" s="521"/>
      <c r="Q9" s="521" t="s">
        <v>9</v>
      </c>
      <c r="R9" s="538" t="s">
        <v>505</v>
      </c>
      <c r="S9" s="538" t="s">
        <v>134</v>
      </c>
      <c r="T9" s="521" t="s">
        <v>107</v>
      </c>
      <c r="U9" s="521" t="s">
        <v>12</v>
      </c>
      <c r="V9" s="521"/>
      <c r="W9" s="521" t="s">
        <v>14</v>
      </c>
      <c r="X9" s="473" t="s">
        <v>499</v>
      </c>
    </row>
    <row r="10" spans="5:30" ht="31.5" customHeight="1">
      <c r="E10" s="536"/>
      <c r="F10" s="521"/>
      <c r="G10" s="521"/>
      <c r="H10" s="521"/>
      <c r="I10" s="521"/>
      <c r="J10" s="521"/>
      <c r="K10" s="521"/>
      <c r="L10" s="521"/>
      <c r="M10" s="521" t="s">
        <v>15</v>
      </c>
      <c r="N10" s="521"/>
      <c r="O10" s="521"/>
      <c r="P10" s="521" t="s">
        <v>16</v>
      </c>
      <c r="Q10" s="521"/>
      <c r="R10" s="536"/>
      <c r="S10" s="536"/>
      <c r="T10" s="521"/>
      <c r="U10" s="521"/>
      <c r="V10" s="521"/>
      <c r="W10" s="521"/>
      <c r="X10" s="521"/>
    </row>
    <row r="11" spans="5:30" ht="78.75" customHeight="1">
      <c r="E11" s="537"/>
      <c r="F11" s="521"/>
      <c r="G11" s="521"/>
      <c r="H11" s="521"/>
      <c r="I11" s="521"/>
      <c r="J11" s="521"/>
      <c r="K11" s="521"/>
      <c r="L11" s="521"/>
      <c r="M11" s="40" t="s">
        <v>17</v>
      </c>
      <c r="N11" s="40" t="s">
        <v>18</v>
      </c>
      <c r="O11" s="40" t="s">
        <v>19</v>
      </c>
      <c r="P11" s="521"/>
      <c r="Q11" s="521"/>
      <c r="R11" s="537"/>
      <c r="S11" s="537"/>
      <c r="T11" s="521"/>
      <c r="U11" s="40" t="s">
        <v>20</v>
      </c>
      <c r="V11" s="40" t="s">
        <v>21</v>
      </c>
      <c r="W11" s="521"/>
      <c r="X11" s="521"/>
    </row>
    <row r="12" spans="5:30" s="6" customFormat="1" ht="20.100000000000001" customHeight="1">
      <c r="E12" s="9" t="s">
        <v>95</v>
      </c>
      <c r="F12" s="86" t="s">
        <v>61</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row>
    <row r="14" spans="5:30" ht="24.95" customHeight="1">
      <c r="E14" s="42"/>
      <c r="F14" s="43"/>
      <c r="G14" s="265" t="s">
        <v>494</v>
      </c>
      <c r="H14" s="43"/>
      <c r="I14" s="43"/>
      <c r="J14" s="43"/>
      <c r="K14" s="43"/>
      <c r="L14" s="43"/>
      <c r="M14" s="43"/>
      <c r="N14" s="43"/>
      <c r="O14" s="43"/>
      <c r="P14" s="43"/>
      <c r="Q14" s="43"/>
      <c r="R14" s="43"/>
      <c r="S14" s="43"/>
      <c r="T14" s="43"/>
      <c r="U14" s="43"/>
      <c r="V14" s="43"/>
      <c r="W14" s="43"/>
      <c r="X14" s="44"/>
    </row>
    <row r="15" spans="5:30" ht="15" hidden="1" customHeight="1">
      <c r="E15" s="204"/>
      <c r="F15" s="18"/>
      <c r="G15" s="18"/>
      <c r="H15" s="18"/>
      <c r="I15" s="18"/>
      <c r="J15" s="202"/>
      <c r="K15" s="202"/>
      <c r="L15" s="18"/>
      <c r="M15" s="18"/>
      <c r="N15" s="202"/>
      <c r="O15" s="202"/>
      <c r="P15" s="18"/>
      <c r="Q15" s="18"/>
      <c r="R15" s="18"/>
      <c r="S15" s="18"/>
      <c r="T15" s="18"/>
      <c r="U15" s="18"/>
      <c r="V15" s="202"/>
      <c r="W15" s="203"/>
    </row>
    <row r="16" spans="5:30" ht="20.100000000000001" customHeight="1">
      <c r="E16" s="59"/>
      <c r="F16" s="60" t="s">
        <v>450</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row>
  </sheetData>
  <sheetProtection sheet="1" objects="1" scenarios="1"/>
  <mergeCells count="18">
    <mergeCell ref="H9:H11"/>
    <mergeCell ref="E9:E11"/>
    <mergeCell ref="F9:F11"/>
    <mergeCell ref="G9:G11"/>
    <mergeCell ref="K9:K11"/>
    <mergeCell ref="Q9:Q11"/>
    <mergeCell ref="P10:P11"/>
    <mergeCell ref="X9:X11"/>
    <mergeCell ref="I9:I11"/>
    <mergeCell ref="J9:J11"/>
    <mergeCell ref="L9:L11"/>
    <mergeCell ref="M9:P9"/>
    <mergeCell ref="U9:V10"/>
    <mergeCell ref="W9:W11"/>
    <mergeCell ref="T9:T11"/>
    <mergeCell ref="R9:R11"/>
    <mergeCell ref="S9:S11"/>
    <mergeCell ref="M10:O10"/>
  </mergeCells>
  <dataValidations count="5">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formula1>0</formula1>
    </dataValidation>
    <dataValidation type="whole" operator="greaterThanOrEqual" allowBlank="1" showInputMessage="1" showErrorMessage="1" sqref="H13:J13">
      <formula1>0</formula1>
    </dataValidation>
  </dataValidations>
  <hyperlinks>
    <hyperlink ref="G16" location="'Shareholding Pattern'!F40" display="Total"/>
    <hyperlink ref="F16" location="'Shareholding Pattern'!F40" display="Total"/>
  </hyperlink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sheetPr codeName="Sheet21">
    <tabColor theme="7"/>
  </sheetPr>
  <dimension ref="A1:XFC23"/>
  <sheetViews>
    <sheetView showGridLines="0" topLeftCell="F7" zoomScale="90" zoomScaleNormal="90" workbookViewId="0">
      <selection activeCell="F12" sqref="F12"/>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4.7109375" customWidth="1"/>
    <col min="14" max="14" width="14.7109375" hidden="1" customWidth="1"/>
    <col min="15" max="15" width="16.42578125" customWidth="1"/>
    <col min="16" max="16" width="10.85546875" customWidth="1"/>
    <col min="17" max="19" width="14.5703125" hidden="1" customWidth="1"/>
    <col min="20" max="20" width="19.140625" customWidth="1"/>
    <col min="21" max="21" width="15.42578125" hidden="1" customWidth="1"/>
    <col min="22" max="22" width="10.140625" hidden="1" customWidth="1"/>
    <col min="23" max="23" width="15.42578125" customWidth="1"/>
    <col min="24" max="24" width="20" customWidth="1"/>
    <col min="25" max="25" width="2.5703125" customWidth="1"/>
    <col min="26" max="26" width="3.28515625" customWidth="1"/>
    <col min="27" max="28" width="1.28515625" hidden="1"/>
    <col min="29" max="30" width="2.140625" hidden="1"/>
    <col min="31" max="16383" width="1.28515625" hidden="1"/>
    <col min="16384" max="16384" width="5.42578125" hidden="1"/>
  </cols>
  <sheetData>
    <row r="1" spans="5:30" hidden="1">
      <c r="I1">
        <v>7</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38" t="s">
        <v>137</v>
      </c>
      <c r="F9" s="521" t="s">
        <v>136</v>
      </c>
      <c r="G9" s="521" t="s">
        <v>1</v>
      </c>
      <c r="H9" s="521" t="s">
        <v>3</v>
      </c>
      <c r="I9" s="521" t="s">
        <v>4</v>
      </c>
      <c r="J9" s="521" t="s">
        <v>5</v>
      </c>
      <c r="K9" s="521" t="s">
        <v>6</v>
      </c>
      <c r="L9" s="521" t="s">
        <v>7</v>
      </c>
      <c r="M9" s="521" t="s">
        <v>8</v>
      </c>
      <c r="N9" s="521"/>
      <c r="O9" s="521"/>
      <c r="P9" s="521"/>
      <c r="Q9" s="521" t="s">
        <v>9</v>
      </c>
      <c r="R9" s="538" t="s">
        <v>505</v>
      </c>
      <c r="S9" s="538" t="s">
        <v>134</v>
      </c>
      <c r="T9" s="521" t="s">
        <v>107</v>
      </c>
      <c r="U9" s="521" t="s">
        <v>12</v>
      </c>
      <c r="V9" s="521"/>
      <c r="W9" s="521" t="s">
        <v>14</v>
      </c>
      <c r="X9" s="473" t="s">
        <v>499</v>
      </c>
    </row>
    <row r="10" spans="5:30" ht="31.5" customHeight="1">
      <c r="E10" s="536"/>
      <c r="F10" s="521"/>
      <c r="G10" s="521"/>
      <c r="H10" s="521"/>
      <c r="I10" s="521"/>
      <c r="J10" s="521"/>
      <c r="K10" s="521"/>
      <c r="L10" s="521"/>
      <c r="M10" s="521" t="s">
        <v>15</v>
      </c>
      <c r="N10" s="521"/>
      <c r="O10" s="521"/>
      <c r="P10" s="521" t="s">
        <v>16</v>
      </c>
      <c r="Q10" s="521"/>
      <c r="R10" s="536"/>
      <c r="S10" s="536"/>
      <c r="T10" s="521"/>
      <c r="U10" s="521"/>
      <c r="V10" s="521"/>
      <c r="W10" s="521"/>
      <c r="X10" s="521"/>
    </row>
    <row r="11" spans="5:30" ht="78.75" customHeight="1">
      <c r="E11" s="537"/>
      <c r="F11" s="521"/>
      <c r="G11" s="521"/>
      <c r="H11" s="521"/>
      <c r="I11" s="521"/>
      <c r="J11" s="521"/>
      <c r="K11" s="521"/>
      <c r="L11" s="521"/>
      <c r="M11" s="40" t="s">
        <v>17</v>
      </c>
      <c r="N11" s="40" t="s">
        <v>18</v>
      </c>
      <c r="O11" s="40" t="s">
        <v>19</v>
      </c>
      <c r="P11" s="521"/>
      <c r="Q11" s="521"/>
      <c r="R11" s="537"/>
      <c r="S11" s="537"/>
      <c r="T11" s="521"/>
      <c r="U11" s="40" t="s">
        <v>20</v>
      </c>
      <c r="V11" s="40" t="s">
        <v>21</v>
      </c>
      <c r="W11" s="521"/>
      <c r="X11" s="521"/>
    </row>
    <row r="12" spans="5:30" s="7" customFormat="1" ht="18.75" customHeight="1">
      <c r="E12" s="9" t="s">
        <v>96</v>
      </c>
      <c r="F12" s="71" t="s">
        <v>104</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SUM(AC22:AC65542)</f>
        <v>0</v>
      </c>
    </row>
    <row r="14" spans="5:30" ht="24.95" customHeight="1">
      <c r="E14" s="42"/>
      <c r="F14" s="43"/>
      <c r="G14" s="265" t="s">
        <v>494</v>
      </c>
      <c r="H14" s="43"/>
      <c r="I14" s="43"/>
      <c r="J14" s="43"/>
      <c r="K14" s="43"/>
      <c r="L14" s="43"/>
      <c r="M14" s="43"/>
      <c r="N14" s="43"/>
      <c r="O14" s="43"/>
      <c r="P14" s="43"/>
      <c r="Q14" s="43"/>
      <c r="R14" s="43"/>
      <c r="S14" s="43"/>
      <c r="T14" s="43"/>
      <c r="U14" s="43"/>
      <c r="V14" s="43"/>
      <c r="W14" s="43"/>
      <c r="X14" s="44"/>
    </row>
    <row r="15" spans="5:30" ht="24.95" customHeight="1">
      <c r="E15" s="195">
        <v>1</v>
      </c>
      <c r="F15" s="404" t="s">
        <v>723</v>
      </c>
      <c r="G15" s="405" t="s">
        <v>724</v>
      </c>
      <c r="H15" s="47">
        <v>3350</v>
      </c>
      <c r="I15" s="47"/>
      <c r="J15" s="47"/>
      <c r="K15" s="403">
        <f t="shared" ref="K15:K21" si="0">+IFERROR(IF(COUNT(H15:J15),ROUND(SUM(H15:J15),0),""),"")</f>
        <v>3350</v>
      </c>
      <c r="L15" s="51">
        <f>+IFERROR(IF(COUNT(K15),ROUND(K15/'Shareholding Pattern'!$L$57*100,2),""),"")</f>
        <v>1.4</v>
      </c>
      <c r="M15" s="207">
        <f t="shared" ref="M15:M21" si="1">IF(H15="","",H15)</f>
        <v>3350</v>
      </c>
      <c r="N15" s="207"/>
      <c r="O15" s="285">
        <f t="shared" ref="O15:O21" si="2">+IFERROR(IF(COUNT(M15:N15),ROUND(SUM(M15,N15),2),""),"")</f>
        <v>3350</v>
      </c>
      <c r="P15" s="51">
        <f>+IFERROR(IF(COUNT(O15),ROUND(O15/('Shareholding Pattern'!$P$58)*100,2),""),"")</f>
        <v>1.4</v>
      </c>
      <c r="Q15" s="47"/>
      <c r="R15" s="47"/>
      <c r="S15" s="403" t="str">
        <f t="shared" ref="S15:S21" si="3">+IFERROR(IF(COUNT(Q15:R15),ROUND(SUM(Q15:R15),0),""),"")</f>
        <v/>
      </c>
      <c r="T15" s="17">
        <f>+IFERROR(IF(COUNT(K15,S15),ROUND(SUM(S15,K15)/SUM('Shareholding Pattern'!$L$57,'Shareholding Pattern'!$T$57)*100,2),""),"")</f>
        <v>1.4</v>
      </c>
      <c r="U15" s="47"/>
      <c r="V15" s="17" t="str">
        <f t="shared" ref="V15:V21" si="4">+IFERROR(IF(COUNT(U15),ROUND(SUM(U15)/SUM(K15)*100,2),""),0)</f>
        <v/>
      </c>
      <c r="W15" s="47">
        <v>3350</v>
      </c>
      <c r="X15" s="284"/>
      <c r="Y15" s="11"/>
      <c r="Z15" s="11"/>
      <c r="AA15" s="11"/>
      <c r="AB15" s="11"/>
      <c r="AC15" s="11">
        <f t="shared" ref="AC15:AC21" si="5">IF(SUM(H15:W15)&gt;0,1,0)</f>
        <v>1</v>
      </c>
    </row>
    <row r="16" spans="5:30" ht="24.95" customHeight="1">
      <c r="E16" s="195">
        <v>2</v>
      </c>
      <c r="F16" s="404" t="s">
        <v>725</v>
      </c>
      <c r="G16" s="405" t="s">
        <v>726</v>
      </c>
      <c r="H16" s="47">
        <v>4500</v>
      </c>
      <c r="I16" s="47"/>
      <c r="J16" s="47"/>
      <c r="K16" s="403">
        <f t="shared" si="0"/>
        <v>4500</v>
      </c>
      <c r="L16" s="51">
        <f>+IFERROR(IF(COUNT(K16),ROUND(K16/'Shareholding Pattern'!$L$57*100,2),""),"")</f>
        <v>1.88</v>
      </c>
      <c r="M16" s="207">
        <f t="shared" si="1"/>
        <v>4500</v>
      </c>
      <c r="N16" s="207"/>
      <c r="O16" s="285">
        <f t="shared" si="2"/>
        <v>4500</v>
      </c>
      <c r="P16" s="51">
        <f>+IFERROR(IF(COUNT(O16),ROUND(O16/('Shareholding Pattern'!$P$58)*100,2),""),"")</f>
        <v>1.88</v>
      </c>
      <c r="Q16" s="47"/>
      <c r="R16" s="47"/>
      <c r="S16" s="403" t="str">
        <f t="shared" si="3"/>
        <v/>
      </c>
      <c r="T16" s="17">
        <f>+IFERROR(IF(COUNT(K16,S16),ROUND(SUM(S16,K16)/SUM('Shareholding Pattern'!$L$57,'Shareholding Pattern'!$T$57)*100,2),""),"")</f>
        <v>1.88</v>
      </c>
      <c r="U16" s="47"/>
      <c r="V16" s="17" t="str">
        <f t="shared" si="4"/>
        <v/>
      </c>
      <c r="W16" s="47">
        <v>4500</v>
      </c>
      <c r="X16" s="284"/>
      <c r="Y16" s="11"/>
      <c r="Z16" s="11"/>
      <c r="AA16" s="11"/>
      <c r="AB16" s="11"/>
      <c r="AC16" s="11">
        <f t="shared" si="5"/>
        <v>1</v>
      </c>
    </row>
    <row r="17" spans="5:29" ht="24.95" customHeight="1">
      <c r="E17" s="195">
        <v>3</v>
      </c>
      <c r="F17" s="404" t="s">
        <v>727</v>
      </c>
      <c r="G17" s="405" t="s">
        <v>728</v>
      </c>
      <c r="H17" s="47">
        <v>4510</v>
      </c>
      <c r="I17" s="47"/>
      <c r="J17" s="47"/>
      <c r="K17" s="403">
        <f t="shared" si="0"/>
        <v>4510</v>
      </c>
      <c r="L17" s="51">
        <f>+IFERROR(IF(COUNT(K17),ROUND(K17/'Shareholding Pattern'!$L$57*100,2),""),"")</f>
        <v>1.88</v>
      </c>
      <c r="M17" s="207">
        <f t="shared" si="1"/>
        <v>4510</v>
      </c>
      <c r="N17" s="207"/>
      <c r="O17" s="285">
        <f t="shared" si="2"/>
        <v>4510</v>
      </c>
      <c r="P17" s="51">
        <f>+IFERROR(IF(COUNT(O17),ROUND(O17/('Shareholding Pattern'!$P$58)*100,2),""),"")</f>
        <v>1.88</v>
      </c>
      <c r="Q17" s="47"/>
      <c r="R17" s="47"/>
      <c r="S17" s="403" t="str">
        <f t="shared" si="3"/>
        <v/>
      </c>
      <c r="T17" s="17">
        <f>+IFERROR(IF(COUNT(K17,S17),ROUND(SUM(S17,K17)/SUM('Shareholding Pattern'!$L$57,'Shareholding Pattern'!$T$57)*100,2),""),"")</f>
        <v>1.88</v>
      </c>
      <c r="U17" s="47"/>
      <c r="V17" s="17" t="str">
        <f t="shared" si="4"/>
        <v/>
      </c>
      <c r="W17" s="47">
        <v>4510</v>
      </c>
      <c r="X17" s="284"/>
      <c r="Y17" s="11"/>
      <c r="Z17" s="11"/>
      <c r="AA17" s="11"/>
      <c r="AB17" s="11"/>
      <c r="AC17" s="11">
        <f t="shared" si="5"/>
        <v>1</v>
      </c>
    </row>
    <row r="18" spans="5:29" ht="24.95" customHeight="1">
      <c r="E18" s="195">
        <v>4</v>
      </c>
      <c r="F18" s="404" t="s">
        <v>729</v>
      </c>
      <c r="G18" s="405" t="s">
        <v>730</v>
      </c>
      <c r="H18" s="47">
        <v>7000</v>
      </c>
      <c r="I18" s="47"/>
      <c r="J18" s="47"/>
      <c r="K18" s="403">
        <f t="shared" si="0"/>
        <v>7000</v>
      </c>
      <c r="L18" s="51">
        <f>+IFERROR(IF(COUNT(K18),ROUND(K18/'Shareholding Pattern'!$L$57*100,2),""),"")</f>
        <v>2.92</v>
      </c>
      <c r="M18" s="207">
        <f t="shared" si="1"/>
        <v>7000</v>
      </c>
      <c r="N18" s="207"/>
      <c r="O18" s="285">
        <f t="shared" si="2"/>
        <v>7000</v>
      </c>
      <c r="P18" s="51">
        <f>+IFERROR(IF(COUNT(O18),ROUND(O18/('Shareholding Pattern'!$P$58)*100,2),""),"")</f>
        <v>2.92</v>
      </c>
      <c r="Q18" s="47"/>
      <c r="R18" s="47"/>
      <c r="S18" s="403" t="str">
        <f t="shared" si="3"/>
        <v/>
      </c>
      <c r="T18" s="17">
        <f>+IFERROR(IF(COUNT(K18,S18),ROUND(SUM(S18,K18)/SUM('Shareholding Pattern'!$L$57,'Shareholding Pattern'!$T$57)*100,2),""),"")</f>
        <v>2.92</v>
      </c>
      <c r="U18" s="47"/>
      <c r="V18" s="17" t="str">
        <f t="shared" si="4"/>
        <v/>
      </c>
      <c r="W18" s="47">
        <v>7000</v>
      </c>
      <c r="X18" s="284"/>
      <c r="Y18" s="11"/>
      <c r="Z18" s="11"/>
      <c r="AA18" s="11"/>
      <c r="AB18" s="11"/>
      <c r="AC18" s="11">
        <f t="shared" si="5"/>
        <v>1</v>
      </c>
    </row>
    <row r="19" spans="5:29" ht="24.95" customHeight="1">
      <c r="E19" s="195">
        <v>5</v>
      </c>
      <c r="F19" s="404" t="s">
        <v>731</v>
      </c>
      <c r="G19" s="405" t="s">
        <v>732</v>
      </c>
      <c r="H19" s="47">
        <v>8000</v>
      </c>
      <c r="I19" s="47"/>
      <c r="J19" s="47"/>
      <c r="K19" s="403">
        <f t="shared" si="0"/>
        <v>8000</v>
      </c>
      <c r="L19" s="51">
        <f>+IFERROR(IF(COUNT(K19),ROUND(K19/'Shareholding Pattern'!$L$57*100,2),""),"")</f>
        <v>3.33</v>
      </c>
      <c r="M19" s="207">
        <f t="shared" si="1"/>
        <v>8000</v>
      </c>
      <c r="N19" s="207"/>
      <c r="O19" s="285">
        <f t="shared" si="2"/>
        <v>8000</v>
      </c>
      <c r="P19" s="51">
        <f>+IFERROR(IF(COUNT(O19),ROUND(O19/('Shareholding Pattern'!$P$58)*100,2),""),"")</f>
        <v>3.33</v>
      </c>
      <c r="Q19" s="47"/>
      <c r="R19" s="47"/>
      <c r="S19" s="403" t="str">
        <f t="shared" si="3"/>
        <v/>
      </c>
      <c r="T19" s="17">
        <f>+IFERROR(IF(COUNT(K19,S19),ROUND(SUM(S19,K19)/SUM('Shareholding Pattern'!$L$57,'Shareholding Pattern'!$T$57)*100,2),""),"")</f>
        <v>3.33</v>
      </c>
      <c r="U19" s="47"/>
      <c r="V19" s="17" t="str">
        <f t="shared" si="4"/>
        <v/>
      </c>
      <c r="W19" s="47">
        <v>8000</v>
      </c>
      <c r="X19" s="284"/>
      <c r="Y19" s="11"/>
      <c r="Z19" s="11"/>
      <c r="AA19" s="11"/>
      <c r="AB19" s="11"/>
      <c r="AC19" s="11">
        <f t="shared" si="5"/>
        <v>1</v>
      </c>
    </row>
    <row r="20" spans="5:29" ht="24.95" customHeight="1">
      <c r="E20" s="195">
        <v>6</v>
      </c>
      <c r="F20" s="404" t="s">
        <v>733</v>
      </c>
      <c r="G20" s="405" t="s">
        <v>734</v>
      </c>
      <c r="H20" s="47">
        <v>13400</v>
      </c>
      <c r="I20" s="47"/>
      <c r="J20" s="47"/>
      <c r="K20" s="403">
        <f t="shared" si="0"/>
        <v>13400</v>
      </c>
      <c r="L20" s="51">
        <f>+IFERROR(IF(COUNT(K20),ROUND(K20/'Shareholding Pattern'!$L$57*100,2),""),"")</f>
        <v>5.58</v>
      </c>
      <c r="M20" s="207">
        <f t="shared" si="1"/>
        <v>13400</v>
      </c>
      <c r="N20" s="207"/>
      <c r="O20" s="285">
        <f t="shared" si="2"/>
        <v>13400</v>
      </c>
      <c r="P20" s="51">
        <f>+IFERROR(IF(COUNT(O20),ROUND(O20/('Shareholding Pattern'!$P$58)*100,2),""),"")</f>
        <v>5.58</v>
      </c>
      <c r="Q20" s="47"/>
      <c r="R20" s="47"/>
      <c r="S20" s="403" t="str">
        <f t="shared" si="3"/>
        <v/>
      </c>
      <c r="T20" s="17">
        <f>+IFERROR(IF(COUNT(K20,S20),ROUND(SUM(S20,K20)/SUM('Shareholding Pattern'!$L$57,'Shareholding Pattern'!$T$57)*100,2),""),"")</f>
        <v>5.58</v>
      </c>
      <c r="U20" s="47"/>
      <c r="V20" s="17" t="str">
        <f t="shared" si="4"/>
        <v/>
      </c>
      <c r="W20" s="47">
        <v>13400</v>
      </c>
      <c r="X20" s="284"/>
      <c r="Y20" s="11"/>
      <c r="Z20" s="11"/>
      <c r="AA20" s="11"/>
      <c r="AB20" s="11"/>
      <c r="AC20" s="11">
        <f t="shared" si="5"/>
        <v>1</v>
      </c>
    </row>
    <row r="21" spans="5:29" ht="24.95" customHeight="1">
      <c r="E21" s="195">
        <v>7</v>
      </c>
      <c r="F21" s="404" t="s">
        <v>735</v>
      </c>
      <c r="G21" s="405" t="s">
        <v>736</v>
      </c>
      <c r="H21" s="47">
        <v>16650</v>
      </c>
      <c r="I21" s="47"/>
      <c r="J21" s="47"/>
      <c r="K21" s="403">
        <f t="shared" si="0"/>
        <v>16650</v>
      </c>
      <c r="L21" s="51">
        <f>+IFERROR(IF(COUNT(K21),ROUND(K21/'Shareholding Pattern'!$L$57*100,2),""),"")</f>
        <v>6.94</v>
      </c>
      <c r="M21" s="207">
        <f t="shared" si="1"/>
        <v>16650</v>
      </c>
      <c r="N21" s="207"/>
      <c r="O21" s="285">
        <f t="shared" si="2"/>
        <v>16650</v>
      </c>
      <c r="P21" s="51">
        <f>+IFERROR(IF(COUNT(O21),ROUND(O21/('Shareholding Pattern'!$P$58)*100,2),""),"")</f>
        <v>6.94</v>
      </c>
      <c r="Q21" s="47"/>
      <c r="R21" s="47"/>
      <c r="S21" s="403" t="str">
        <f t="shared" si="3"/>
        <v/>
      </c>
      <c r="T21" s="17">
        <f>+IFERROR(IF(COUNT(K21,S21),ROUND(SUM(S21,K21)/SUM('Shareholding Pattern'!$L$57,'Shareholding Pattern'!$T$57)*100,2),""),"")</f>
        <v>6.94</v>
      </c>
      <c r="U21" s="47"/>
      <c r="V21" s="17" t="str">
        <f t="shared" si="4"/>
        <v/>
      </c>
      <c r="W21" s="47">
        <v>16650</v>
      </c>
      <c r="X21" s="284"/>
      <c r="Y21" s="11"/>
      <c r="Z21" s="11"/>
      <c r="AA21" s="11"/>
      <c r="AB21" s="11"/>
      <c r="AC21" s="11">
        <f t="shared" si="5"/>
        <v>1</v>
      </c>
    </row>
    <row r="22" spans="5:29" ht="24.95" hidden="1" customHeight="1">
      <c r="E22" s="12"/>
      <c r="F22" s="13"/>
      <c r="G22" s="13"/>
      <c r="H22" s="13"/>
      <c r="I22" s="13"/>
      <c r="J22" s="13"/>
      <c r="K22" s="13"/>
      <c r="L22" s="13"/>
      <c r="M22" s="13"/>
      <c r="N22" s="13"/>
      <c r="O22" s="13"/>
      <c r="P22" s="13"/>
      <c r="Q22" s="13"/>
      <c r="R22" s="13"/>
      <c r="S22" s="13"/>
      <c r="T22" s="13"/>
      <c r="U22" s="13"/>
      <c r="V22" s="13"/>
      <c r="W22" s="198"/>
    </row>
    <row r="23" spans="5:29" ht="20.100000000000001" customHeight="1">
      <c r="E23" s="37"/>
      <c r="F23" s="83" t="s">
        <v>450</v>
      </c>
      <c r="G23" s="70" t="s">
        <v>19</v>
      </c>
      <c r="H23" s="53">
        <f>+IFERROR(IF(COUNT(H13:H22),ROUND(SUM(H13:H22),0),""),"")</f>
        <v>57410</v>
      </c>
      <c r="I23" s="53" t="str">
        <f>+IFERROR(IF(COUNT(I13:I22),ROUND(SUM(I13:I22),0),""),"")</f>
        <v/>
      </c>
      <c r="J23" s="53" t="str">
        <f>+IFERROR(IF(COUNT(J13:J22),ROUND(SUM(J13:J22),0),""),"")</f>
        <v/>
      </c>
      <c r="K23" s="53">
        <f>+IFERROR(IF(COUNT(K13:K22),ROUND(SUM(K13:K22),0),""),"")</f>
        <v>57410</v>
      </c>
      <c r="L23" s="17">
        <f>+IFERROR(IF(COUNT(K23),ROUND(K23/'Shareholding Pattern'!$L$57*100,2),""),"")</f>
        <v>23.92</v>
      </c>
      <c r="M23" s="35">
        <f>+IFERROR(IF(COUNT(M13:M22),ROUND(SUM(M13:M22),0),""),"")</f>
        <v>57410</v>
      </c>
      <c r="N23" s="35" t="str">
        <f>+IFERROR(IF(COUNT(N13:N22),ROUND(SUM(N13:N22),0),""),"")</f>
        <v/>
      </c>
      <c r="O23" s="35">
        <f>+IFERROR(IF(COUNT(O13:O22),ROUND(SUM(O13:O22),0),""),"")</f>
        <v>57410</v>
      </c>
      <c r="P23" s="17">
        <f>+IFERROR(IF(COUNT(O23),ROUND(O23/('Shareholding Pattern'!$P$58)*100,2),""),"")</f>
        <v>23.92</v>
      </c>
      <c r="Q23" s="53" t="str">
        <f>+IFERROR(IF(COUNT(Q13:Q22),ROUND(SUM(Q13:Q22),0),""),"")</f>
        <v/>
      </c>
      <c r="R23" s="53" t="str">
        <f>+IFERROR(IF(COUNT(R13:R22),ROUND(SUM(R13:R22),0),""),"")</f>
        <v/>
      </c>
      <c r="S23" s="53" t="str">
        <f>+IFERROR(IF(COUNT(S13:S22),ROUND(SUM(S13:S22),0),""),"")</f>
        <v/>
      </c>
      <c r="T23" s="17">
        <f>+IFERROR(IF(COUNT(K23,S23),ROUND(SUM(S23,K23)/SUM('Shareholding Pattern'!$L$57,'Shareholding Pattern'!$T$57)*100,2),""),"")</f>
        <v>23.92</v>
      </c>
      <c r="U23" s="53" t="str">
        <f>+IFERROR(IF(COUNT(U13:U22),ROUND(SUM(U13:U22),0),""),"")</f>
        <v/>
      </c>
      <c r="V23" s="17" t="str">
        <f>+IFERROR(IF(COUNT(U23),ROUND(SUM(U23)/SUM(K23)*100,2),""),0)</f>
        <v/>
      </c>
      <c r="W23" s="53">
        <f>+IFERROR(IF(COUNT(W13:W22),ROUND(SUM(W13:W22),0),""),"")</f>
        <v>57410</v>
      </c>
    </row>
  </sheetData>
  <sheetProtection password="F884" sheet="1" objects="1" scenarios="1"/>
  <mergeCells count="18">
    <mergeCell ref="K9:K11"/>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s>
  <dataValidations count="4">
    <dataValidation type="whole" operator="lessThanOrEqual" allowBlank="1" showInputMessage="1" showErrorMessage="1" sqref="U13 U15:U21">
      <formula1>H13</formula1>
    </dataValidation>
    <dataValidation type="whole" operator="lessThanOrEqual" allowBlank="1" showInputMessage="1" showErrorMessage="1" sqref="W13 W15:W21">
      <formula1>K13</formula1>
    </dataValidation>
    <dataValidation type="textLength" operator="equal" allowBlank="1" showInputMessage="1" showErrorMessage="1" prompt="[A-Z][A-Z][A-Z][A-Z][A-Z][0-9][0-9][0-9][0-9][A-Z]_x000a__x000a_In absence of PAN write : ZZZZZ9999Z" sqref="G13 G15:G21">
      <formula1>10</formula1>
    </dataValidation>
    <dataValidation type="whole" operator="greaterThanOrEqual" allowBlank="1" showInputMessage="1" showErrorMessage="1" sqref="Q13:R13 M13:N13 H13:J13 Q15:R21 M15:N21 H15:J21">
      <formula1>0</formula1>
    </dataValidation>
  </dataValidations>
  <hyperlinks>
    <hyperlink ref="G23" location="'Shareholding Pattern'!F43" display="Total"/>
    <hyperlink ref="F23" location="'Shareholding Pattern'!F43" display="Total"/>
  </hyperlinks>
  <pageMargins left="0.7" right="0.7" top="0.75" bottom="0.75" header="0.3" footer="0.3"/>
  <drawing r:id="rId1"/>
  <legacyDrawing r:id="rId2"/>
</worksheet>
</file>

<file path=xl/worksheets/sheet28.xml><?xml version="1.0" encoding="utf-8"?>
<worksheet xmlns="http://schemas.openxmlformats.org/spreadsheetml/2006/main" xmlns:r="http://schemas.openxmlformats.org/officeDocument/2006/relationships">
  <sheetPr codeName="Sheet22">
    <tabColor theme="7"/>
  </sheetPr>
  <dimension ref="A1:XFC16"/>
  <sheetViews>
    <sheetView showGridLines="0" topLeftCell="A7" zoomScale="90" zoomScaleNormal="90" workbookViewId="0">
      <selection activeCell="X29" sqref="X29"/>
    </sheetView>
  </sheetViews>
  <sheetFormatPr defaultColWidth="0" defaultRowHeight="15"/>
  <cols>
    <col min="1" max="1" width="2" customWidth="1"/>
    <col min="2" max="2" width="1.5703125" hidden="1" customWidth="1"/>
    <col min="3" max="3" width="1.7109375" hidden="1" customWidth="1"/>
    <col min="4" max="4" width="2.28515625" hidden="1" customWidth="1"/>
    <col min="5" max="5" width="9.57031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4.7109375" customWidth="1"/>
    <col min="14" max="14" width="14.7109375" hidden="1" customWidth="1"/>
    <col min="15" max="15" width="18" customWidth="1"/>
    <col min="16" max="16" width="9.140625" customWidth="1"/>
    <col min="17" max="19" width="14.5703125" hidden="1" customWidth="1"/>
    <col min="20" max="20" width="19.140625" customWidth="1"/>
    <col min="21" max="21" width="15.42578125" hidden="1" customWidth="1"/>
    <col min="22" max="22" width="8.85546875" hidden="1" customWidth="1"/>
    <col min="23" max="23" width="15.42578125" customWidth="1"/>
    <col min="24" max="24" width="19.85546875" customWidth="1"/>
    <col min="25" max="25" width="2.28515625" customWidth="1"/>
    <col min="26" max="26" width="3.28515625" customWidth="1"/>
    <col min="27" max="16383" width="5.42578125" hidden="1"/>
    <col min="16384" max="16384" width="2.4257812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38" t="s">
        <v>137</v>
      </c>
      <c r="F9" s="521" t="s">
        <v>136</v>
      </c>
      <c r="G9" s="521" t="s">
        <v>1</v>
      </c>
      <c r="H9" s="521" t="s">
        <v>3</v>
      </c>
      <c r="I9" s="521" t="s">
        <v>4</v>
      </c>
      <c r="J9" s="521" t="s">
        <v>5</v>
      </c>
      <c r="K9" s="521" t="s">
        <v>6</v>
      </c>
      <c r="L9" s="521" t="s">
        <v>7</v>
      </c>
      <c r="M9" s="521" t="s">
        <v>8</v>
      </c>
      <c r="N9" s="521"/>
      <c r="O9" s="521"/>
      <c r="P9" s="521"/>
      <c r="Q9" s="521" t="s">
        <v>9</v>
      </c>
      <c r="R9" s="538" t="s">
        <v>505</v>
      </c>
      <c r="S9" s="538" t="s">
        <v>134</v>
      </c>
      <c r="T9" s="521" t="s">
        <v>107</v>
      </c>
      <c r="U9" s="521" t="s">
        <v>12</v>
      </c>
      <c r="V9" s="521"/>
      <c r="W9" s="521" t="s">
        <v>14</v>
      </c>
      <c r="X9" s="473" t="s">
        <v>499</v>
      </c>
    </row>
    <row r="10" spans="5:30" ht="31.5" customHeight="1">
      <c r="E10" s="536"/>
      <c r="F10" s="521"/>
      <c r="G10" s="521"/>
      <c r="H10" s="521"/>
      <c r="I10" s="521"/>
      <c r="J10" s="521"/>
      <c r="K10" s="521"/>
      <c r="L10" s="521"/>
      <c r="M10" s="521" t="s">
        <v>15</v>
      </c>
      <c r="N10" s="521"/>
      <c r="O10" s="521"/>
      <c r="P10" s="521" t="s">
        <v>16</v>
      </c>
      <c r="Q10" s="521"/>
      <c r="R10" s="536"/>
      <c r="S10" s="536"/>
      <c r="T10" s="521"/>
      <c r="U10" s="521"/>
      <c r="V10" s="521"/>
      <c r="W10" s="521"/>
      <c r="X10" s="521"/>
    </row>
    <row r="11" spans="5:30" ht="78.75" customHeight="1">
      <c r="E11" s="537"/>
      <c r="F11" s="521"/>
      <c r="G11" s="521"/>
      <c r="H11" s="521"/>
      <c r="I11" s="521"/>
      <c r="J11" s="521"/>
      <c r="K11" s="521"/>
      <c r="L11" s="521"/>
      <c r="M11" s="40" t="s">
        <v>17</v>
      </c>
      <c r="N11" s="40" t="s">
        <v>18</v>
      </c>
      <c r="O11" s="40" t="s">
        <v>19</v>
      </c>
      <c r="P11" s="521"/>
      <c r="Q11" s="521"/>
      <c r="R11" s="537"/>
      <c r="S11" s="537"/>
      <c r="T11" s="521"/>
      <c r="U11" s="40" t="s">
        <v>20</v>
      </c>
      <c r="V11" s="40" t="s">
        <v>21</v>
      </c>
      <c r="W11" s="521"/>
      <c r="X11" s="521"/>
    </row>
    <row r="12" spans="5:30" s="8" customFormat="1" ht="20.100000000000001" customHeight="1">
      <c r="E12" s="9" t="s">
        <v>97</v>
      </c>
      <c r="F12" s="71" t="s">
        <v>103</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row>
    <row r="14" spans="5:30" ht="24.95" customHeight="1">
      <c r="E14" s="42"/>
      <c r="F14" s="43"/>
      <c r="G14" s="265" t="s">
        <v>496</v>
      </c>
      <c r="H14" s="43"/>
      <c r="I14" s="43"/>
      <c r="J14" s="43"/>
      <c r="K14" s="43"/>
      <c r="L14" s="43"/>
      <c r="M14" s="43"/>
      <c r="N14" s="43"/>
      <c r="O14" s="43"/>
      <c r="P14" s="43"/>
      <c r="Q14" s="43"/>
      <c r="R14" s="43"/>
      <c r="S14" s="43"/>
      <c r="T14" s="43"/>
      <c r="U14" s="43"/>
      <c r="V14" s="43"/>
      <c r="W14" s="43"/>
      <c r="X14" s="44"/>
    </row>
    <row r="15" spans="5:30" ht="24.95" hidden="1" customHeight="1">
      <c r="E15" s="12"/>
      <c r="F15" s="13"/>
      <c r="G15" s="13"/>
      <c r="H15" s="13"/>
      <c r="I15" s="13"/>
      <c r="J15" s="13"/>
      <c r="K15" s="13"/>
      <c r="L15" s="13"/>
      <c r="M15" s="13"/>
      <c r="N15" s="13"/>
      <c r="O15" s="13"/>
      <c r="P15" s="13"/>
      <c r="Q15" s="13"/>
      <c r="R15" s="13"/>
      <c r="S15" s="13"/>
      <c r="T15" s="13"/>
      <c r="U15" s="13"/>
      <c r="V15" s="13"/>
      <c r="W15" s="198"/>
    </row>
    <row r="16" spans="5:30"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row>
  </sheetData>
  <sheetProtection sheet="1" objects="1" scenarios="1"/>
  <dataConsolidate/>
  <mergeCells count="18">
    <mergeCell ref="X9:X11"/>
    <mergeCell ref="M10:O10"/>
    <mergeCell ref="P10:P11"/>
    <mergeCell ref="J9:J11"/>
    <mergeCell ref="K9:K11"/>
    <mergeCell ref="L9:L11"/>
    <mergeCell ref="M9:P9"/>
    <mergeCell ref="Q9:Q11"/>
    <mergeCell ref="R9:R11"/>
    <mergeCell ref="U9:V10"/>
    <mergeCell ref="W9:W11"/>
    <mergeCell ref="T9:T11"/>
    <mergeCell ref="S9:S11"/>
    <mergeCell ref="E9:E11"/>
    <mergeCell ref="F9:F11"/>
    <mergeCell ref="G9:G11"/>
    <mergeCell ref="H9:H11"/>
    <mergeCell ref="I9:I11"/>
  </mergeCells>
  <dataValidations count="5">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formula1>0</formula1>
    </dataValidation>
    <dataValidation type="whole" operator="greaterThanOrEqual" allowBlank="1" showInputMessage="1" showErrorMessage="1" sqref="H13:J13">
      <formula1>0</formula1>
    </dataValidation>
  </dataValidations>
  <hyperlinks>
    <hyperlink ref="G16" location="'Shareholding Pattern'!F44" display="Total"/>
    <hyperlink ref="F16" location="'Shareholding Pattern'!F44" display="Total"/>
  </hyperlink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sheetPr codeName="Sheet23">
    <tabColor theme="7"/>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6.5703125" customWidth="1"/>
    <col min="13" max="13" width="15.42578125" customWidth="1"/>
    <col min="14" max="14" width="16" hidden="1" customWidth="1"/>
    <col min="15" max="15" width="16.42578125" customWidth="1"/>
    <col min="16" max="16" width="10.28515625" customWidth="1"/>
    <col min="17" max="19" width="14.5703125" hidden="1" customWidth="1"/>
    <col min="20" max="20" width="19.140625" customWidth="1"/>
    <col min="21" max="21" width="15.42578125" hidden="1" customWidth="1"/>
    <col min="22" max="22" width="9.28515625" hidden="1" customWidth="1"/>
    <col min="23" max="23" width="15.42578125" customWidth="1"/>
    <col min="24" max="24" width="21.42578125" customWidth="1"/>
    <col min="25" max="25" width="4.28515625" customWidth="1"/>
    <col min="26" max="26" width="3.28515625" customWidth="1"/>
    <col min="27" max="16383" width="4.85546875" hidden="1"/>
    <col min="16384" max="16384" width="4.570312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38" t="s">
        <v>137</v>
      </c>
      <c r="F9" s="521" t="s">
        <v>136</v>
      </c>
      <c r="G9" s="521" t="s">
        <v>1</v>
      </c>
      <c r="H9" s="521" t="s">
        <v>3</v>
      </c>
      <c r="I9" s="521" t="s">
        <v>4</v>
      </c>
      <c r="J9" s="521" t="s">
        <v>5</v>
      </c>
      <c r="K9" s="521" t="s">
        <v>6</v>
      </c>
      <c r="L9" s="521" t="s">
        <v>7</v>
      </c>
      <c r="M9" s="521" t="s">
        <v>8</v>
      </c>
      <c r="N9" s="521"/>
      <c r="O9" s="521"/>
      <c r="P9" s="521"/>
      <c r="Q9" s="521" t="s">
        <v>9</v>
      </c>
      <c r="R9" s="538" t="s">
        <v>505</v>
      </c>
      <c r="S9" s="538" t="s">
        <v>134</v>
      </c>
      <c r="T9" s="521" t="s">
        <v>107</v>
      </c>
      <c r="U9" s="521" t="s">
        <v>12</v>
      </c>
      <c r="V9" s="521"/>
      <c r="W9" s="521" t="s">
        <v>14</v>
      </c>
      <c r="X9" s="473" t="s">
        <v>499</v>
      </c>
    </row>
    <row r="10" spans="5:30" ht="31.5" customHeight="1">
      <c r="E10" s="536"/>
      <c r="F10" s="521"/>
      <c r="G10" s="521"/>
      <c r="H10" s="521"/>
      <c r="I10" s="521"/>
      <c r="J10" s="521"/>
      <c r="K10" s="521"/>
      <c r="L10" s="521"/>
      <c r="M10" s="521" t="s">
        <v>15</v>
      </c>
      <c r="N10" s="521"/>
      <c r="O10" s="521"/>
      <c r="P10" s="521" t="s">
        <v>16</v>
      </c>
      <c r="Q10" s="521"/>
      <c r="R10" s="536"/>
      <c r="S10" s="536"/>
      <c r="T10" s="521"/>
      <c r="U10" s="521"/>
      <c r="V10" s="521"/>
      <c r="W10" s="521"/>
      <c r="X10" s="521"/>
    </row>
    <row r="11" spans="5:30" ht="78.75" customHeight="1">
      <c r="E11" s="537"/>
      <c r="F11" s="521"/>
      <c r="G11" s="521"/>
      <c r="H11" s="521"/>
      <c r="I11" s="521"/>
      <c r="J11" s="521"/>
      <c r="K11" s="521"/>
      <c r="L11" s="521"/>
      <c r="M11" s="40" t="s">
        <v>17</v>
      </c>
      <c r="N11" s="40" t="s">
        <v>18</v>
      </c>
      <c r="O11" s="40" t="s">
        <v>19</v>
      </c>
      <c r="P11" s="521"/>
      <c r="Q11" s="521"/>
      <c r="R11" s="537"/>
      <c r="S11" s="537"/>
      <c r="T11" s="521"/>
      <c r="U11" s="40" t="s">
        <v>20</v>
      </c>
      <c r="V11" s="40" t="s">
        <v>21</v>
      </c>
      <c r="W11" s="521"/>
      <c r="X11" s="521"/>
    </row>
    <row r="12" spans="5:30" s="8" customFormat="1" ht="20.100000000000001" customHeight="1">
      <c r="E12" s="9" t="s">
        <v>98</v>
      </c>
      <c r="F12" s="52" t="s">
        <v>67</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row>
    <row r="14" spans="5:30" ht="24.95" customHeight="1">
      <c r="E14" s="42"/>
      <c r="F14" s="43"/>
      <c r="G14" s="265" t="s">
        <v>496</v>
      </c>
      <c r="H14" s="43"/>
      <c r="I14" s="43"/>
      <c r="J14" s="43"/>
      <c r="K14" s="43"/>
      <c r="L14" s="43"/>
      <c r="M14" s="43"/>
      <c r="N14" s="43"/>
      <c r="O14" s="43"/>
      <c r="P14" s="43"/>
      <c r="Q14" s="43"/>
      <c r="R14" s="43"/>
      <c r="S14" s="43"/>
      <c r="T14" s="43"/>
      <c r="U14" s="43"/>
      <c r="V14" s="43"/>
      <c r="W14" s="43"/>
      <c r="X14" s="44"/>
    </row>
    <row r="15" spans="5:30" ht="24.95" hidden="1" customHeight="1">
      <c r="E15" s="12"/>
      <c r="F15" s="13"/>
      <c r="G15" s="13"/>
      <c r="H15" s="13"/>
      <c r="I15" s="13"/>
      <c r="J15" s="13"/>
      <c r="K15" s="13"/>
      <c r="L15" s="13"/>
      <c r="M15" s="13"/>
      <c r="N15" s="13"/>
      <c r="O15" s="13"/>
      <c r="P15" s="13"/>
      <c r="Q15" s="13"/>
      <c r="R15" s="13"/>
      <c r="S15" s="13"/>
      <c r="T15" s="13"/>
      <c r="U15" s="13"/>
      <c r="V15" s="13"/>
      <c r="W15" s="198"/>
    </row>
    <row r="16" spans="5:30" ht="20.100000000000001" customHeight="1">
      <c r="E16" s="37"/>
      <c r="F16" s="83" t="s">
        <v>450</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Pattern'!$L$57*100,2),""),"")</f>
        <v/>
      </c>
      <c r="M16" s="35" t="str">
        <f>+IFERROR(IF(COUNT(M13:M15),ROUND(SUM(M13:M15),0),""),"")</f>
        <v/>
      </c>
      <c r="N16" s="35" t="str">
        <f>+IFERROR(IF(COUNT(N13:N15),ROUND(SUM(N13:N15),0),""),"")</f>
        <v/>
      </c>
      <c r="O16" s="35" t="str">
        <f>+IFERROR(IF(COUNT(O13:O15),ROUND(SUM(O13:O15),0),""),"")</f>
        <v/>
      </c>
      <c r="P16" s="17" t="str">
        <f>+IFERROR(IF(COUNT(O16),ROUND(O16/('Shareholding Pattern'!$P$58)*100,2),""),"")</f>
        <v/>
      </c>
      <c r="Q16" s="53" t="str">
        <f>+IFERROR(IF(COUNT(Q13:Q15),ROUND(SUM(Q13:Q15),0),""),"")</f>
        <v/>
      </c>
      <c r="R16" s="53" t="str">
        <f>+IFERROR(IF(COUNT(R13:R15),ROUND(SUM(R13:R15),0),""),"")</f>
        <v/>
      </c>
      <c r="S16" s="53" t="str">
        <f>+IFERROR(IF(COUNT(S13:S15),ROUND(SUM(S13:S15),0),""),"")</f>
        <v/>
      </c>
      <c r="T16" s="17" t="str">
        <f>+IFERROR(IF(COUNT(K16,S16),ROUND(SUM(S16,K16)/SUM('Shareholding Pattern'!$L$57,'Shareholding Pattern'!$T$57)*100,2),""),"")</f>
        <v/>
      </c>
      <c r="U16" s="53" t="str">
        <f>+IFERROR(IF(COUNT(U13:U15),ROUND(SUM(U13:U15),0),""),"")</f>
        <v/>
      </c>
      <c r="V16" s="17" t="str">
        <f>+IFERROR(IF(COUNT(U16),ROUND(SUM(U16)/SUM(K16)*100,2),""),0)</f>
        <v/>
      </c>
      <c r="W16" s="53" t="str">
        <f>+IFERROR(IF(COUNT(W13:W15),ROUND(SUM(W13:W15),0),""),"")</f>
        <v/>
      </c>
    </row>
  </sheetData>
  <sheetProtection sheet="1" objects="1" scenarios="1"/>
  <mergeCells count="18">
    <mergeCell ref="X9:X11"/>
    <mergeCell ref="M10:O10"/>
    <mergeCell ref="P10:P11"/>
    <mergeCell ref="J9:J11"/>
    <mergeCell ref="K9:K11"/>
    <mergeCell ref="L9:L11"/>
    <mergeCell ref="M9:P9"/>
    <mergeCell ref="Q9:Q11"/>
    <mergeCell ref="R9:R11"/>
    <mergeCell ref="U9:V10"/>
    <mergeCell ref="W9:W11"/>
    <mergeCell ref="T9:T11"/>
    <mergeCell ref="S9:S11"/>
    <mergeCell ref="E9:E11"/>
    <mergeCell ref="F9:F11"/>
    <mergeCell ref="G9:G11"/>
    <mergeCell ref="H9:H11"/>
    <mergeCell ref="I9:I11"/>
  </mergeCells>
  <dataValidations count="5">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formula1>0</formula1>
    </dataValidation>
    <dataValidation type="whole" operator="greaterThanOrEqual" allowBlank="1" showInputMessage="1" showErrorMessage="1" sqref="H13:J13">
      <formula1>0</formula1>
    </dataValidation>
  </dataValidations>
  <hyperlinks>
    <hyperlink ref="G16" location="'Shareholding Pattern'!F45" display="Total"/>
    <hyperlink ref="F16" location="'Shareholding Pattern'!F45" display="Total"/>
  </hyperlink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sheetPr codeName="Sheet24">
    <tabColor theme="7"/>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4.7109375" customWidth="1"/>
    <col min="14" max="14" width="14.7109375" hidden="1" customWidth="1"/>
    <col min="15" max="15" width="17.85546875" customWidth="1"/>
    <col min="16" max="16" width="10.28515625" customWidth="1"/>
    <col min="17" max="19" width="14.5703125" hidden="1" customWidth="1"/>
    <col min="20" max="20" width="19.140625" customWidth="1"/>
    <col min="21" max="21" width="14.7109375" hidden="1" customWidth="1"/>
    <col min="22" max="22" width="8.42578125" hidden="1" customWidth="1"/>
    <col min="23" max="23" width="15.42578125" customWidth="1"/>
    <col min="24" max="24" width="19.140625" customWidth="1"/>
    <col min="25" max="25" width="3.85546875" customWidth="1"/>
    <col min="26" max="26" width="2.5703125" customWidth="1"/>
    <col min="27" max="16383" width="4.28515625" hidden="1"/>
    <col min="16384" max="16384" width="4.4257812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38" t="s">
        <v>137</v>
      </c>
      <c r="F9" s="521" t="s">
        <v>136</v>
      </c>
      <c r="G9" s="521" t="s">
        <v>1</v>
      </c>
      <c r="H9" s="521" t="s">
        <v>3</v>
      </c>
      <c r="I9" s="521" t="s">
        <v>4</v>
      </c>
      <c r="J9" s="521" t="s">
        <v>5</v>
      </c>
      <c r="K9" s="521" t="s">
        <v>6</v>
      </c>
      <c r="L9" s="521" t="s">
        <v>7</v>
      </c>
      <c r="M9" s="521" t="s">
        <v>8</v>
      </c>
      <c r="N9" s="521"/>
      <c r="O9" s="521"/>
      <c r="P9" s="521"/>
      <c r="Q9" s="521" t="s">
        <v>9</v>
      </c>
      <c r="R9" s="538" t="s">
        <v>505</v>
      </c>
      <c r="S9" s="538" t="s">
        <v>134</v>
      </c>
      <c r="T9" s="521" t="s">
        <v>107</v>
      </c>
      <c r="U9" s="521" t="s">
        <v>12</v>
      </c>
      <c r="V9" s="521"/>
      <c r="W9" s="521" t="s">
        <v>14</v>
      </c>
      <c r="X9" s="473" t="s">
        <v>499</v>
      </c>
    </row>
    <row r="10" spans="5:30" ht="31.5" customHeight="1">
      <c r="E10" s="536"/>
      <c r="F10" s="521"/>
      <c r="G10" s="521"/>
      <c r="H10" s="521"/>
      <c r="I10" s="521"/>
      <c r="J10" s="521"/>
      <c r="K10" s="521"/>
      <c r="L10" s="521"/>
      <c r="M10" s="521" t="s">
        <v>15</v>
      </c>
      <c r="N10" s="521"/>
      <c r="O10" s="521"/>
      <c r="P10" s="521" t="s">
        <v>16</v>
      </c>
      <c r="Q10" s="521"/>
      <c r="R10" s="536"/>
      <c r="S10" s="536"/>
      <c r="T10" s="521"/>
      <c r="U10" s="521"/>
      <c r="V10" s="521"/>
      <c r="W10" s="521"/>
      <c r="X10" s="521"/>
    </row>
    <row r="11" spans="5:30" ht="78.75" customHeight="1">
      <c r="E11" s="537"/>
      <c r="F11" s="521"/>
      <c r="G11" s="521"/>
      <c r="H11" s="521"/>
      <c r="I11" s="521"/>
      <c r="J11" s="521"/>
      <c r="K11" s="521"/>
      <c r="L11" s="521"/>
      <c r="M11" s="40" t="s">
        <v>17</v>
      </c>
      <c r="N11" s="40" t="s">
        <v>18</v>
      </c>
      <c r="O11" s="40" t="s">
        <v>19</v>
      </c>
      <c r="P11" s="521"/>
      <c r="Q11" s="521"/>
      <c r="R11" s="537"/>
      <c r="S11" s="537"/>
      <c r="T11" s="521"/>
      <c r="U11" s="40" t="s">
        <v>20</v>
      </c>
      <c r="V11" s="40" t="s">
        <v>21</v>
      </c>
      <c r="W11" s="521"/>
      <c r="X11" s="521"/>
    </row>
    <row r="12" spans="5:30" ht="18.75" customHeight="1">
      <c r="E12" s="9" t="s">
        <v>99</v>
      </c>
      <c r="F12" s="52" t="s">
        <v>68</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row>
    <row r="14" spans="5:30" ht="24.95" customHeight="1">
      <c r="E14" s="42"/>
      <c r="F14" s="43"/>
      <c r="G14" s="266" t="s">
        <v>494</v>
      </c>
      <c r="H14" s="43"/>
      <c r="I14" s="43"/>
      <c r="J14" s="43"/>
      <c r="K14" s="43"/>
      <c r="L14" s="43"/>
      <c r="M14" s="43"/>
      <c r="N14" s="43"/>
      <c r="O14" s="43"/>
      <c r="P14" s="43"/>
      <c r="Q14" s="43"/>
      <c r="R14" s="43"/>
      <c r="S14" s="43"/>
      <c r="T14" s="43"/>
      <c r="U14" s="43"/>
      <c r="V14" s="43"/>
      <c r="W14" s="43"/>
      <c r="X14" s="44"/>
    </row>
    <row r="15" spans="5:30" ht="24.95" hidden="1" customHeight="1">
      <c r="E15" s="12"/>
      <c r="F15" s="13"/>
      <c r="G15" s="13"/>
      <c r="H15" s="13"/>
      <c r="I15" s="13"/>
      <c r="J15" s="13"/>
      <c r="K15" s="13"/>
      <c r="L15" s="13"/>
      <c r="M15" s="13"/>
      <c r="N15" s="13"/>
      <c r="O15" s="13"/>
      <c r="P15" s="13"/>
      <c r="Q15" s="13"/>
      <c r="R15" s="13"/>
      <c r="S15" s="13"/>
      <c r="T15" s="13"/>
      <c r="U15" s="13"/>
      <c r="V15" s="13"/>
      <c r="W15" s="198"/>
    </row>
    <row r="16" spans="5:30" ht="20.100000000000001" customHeight="1">
      <c r="E16" s="37"/>
      <c r="F16" s="83" t="s">
        <v>450</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Pattern'!$L$57*100,2),""),"")</f>
        <v/>
      </c>
      <c r="M16" s="35" t="str">
        <f>+IFERROR(IF(COUNT(M13:M15),ROUND(SUM(M13:M15),0),""),"")</f>
        <v/>
      </c>
      <c r="N16" s="35" t="str">
        <f>+IFERROR(IF(COUNT(N13:N15),ROUND(SUM(N13:N15),0),""),"")</f>
        <v/>
      </c>
      <c r="O16" s="35" t="str">
        <f>+IFERROR(IF(COUNT(O13:O15),ROUND(SUM(O13:O15),0),""),"")</f>
        <v/>
      </c>
      <c r="P16" s="17" t="str">
        <f>+IFERROR(IF(COUNT(O16),ROUND(O16/('Shareholding Pattern'!$P$58)*100,2),""),"")</f>
        <v/>
      </c>
      <c r="Q16" s="53" t="str">
        <f>+IFERROR(IF(COUNT(Q13:Q15),ROUND(SUM(Q13:Q15),0),""),"")</f>
        <v/>
      </c>
      <c r="R16" s="53" t="str">
        <f>+IFERROR(IF(COUNT(R13:R15),ROUND(SUM(R13:R15),0),""),"")</f>
        <v/>
      </c>
      <c r="S16" s="53" t="str">
        <f>+IFERROR(IF(COUNT(S13:S15),ROUND(SUM(S13:S15),0),""),"")</f>
        <v/>
      </c>
      <c r="T16" s="17" t="str">
        <f>+IFERROR(IF(COUNT(K16,S16),ROUND(SUM(S16,K16)/SUM('Shareholding Pattern'!$L$57,'Shareholding Pattern'!$T$57)*100,2),""),"")</f>
        <v/>
      </c>
      <c r="U16" s="53" t="str">
        <f>+IFERROR(IF(COUNT(U13:U15),ROUND(SUM(U13:U15),0),""),"")</f>
        <v/>
      </c>
      <c r="V16" s="17" t="str">
        <f>+IFERROR(IF(COUNT(U16),ROUND(SUM(U16)/SUM(K16)*100,2),""),0)</f>
        <v/>
      </c>
      <c r="W16" s="53" t="str">
        <f>+IFERROR(IF(COUNT(W13:W15),ROUND(SUM(W13:W15),0),""),"")</f>
        <v/>
      </c>
    </row>
  </sheetData>
  <sheetProtection sheet="1" objects="1" scenarios="1"/>
  <mergeCells count="18">
    <mergeCell ref="L9:L11"/>
    <mergeCell ref="M9:P9"/>
    <mergeCell ref="X9:X11"/>
    <mergeCell ref="Q9:Q11"/>
    <mergeCell ref="E9:E11"/>
    <mergeCell ref="U9:V10"/>
    <mergeCell ref="W9:W11"/>
    <mergeCell ref="F9:F11"/>
    <mergeCell ref="G9:G11"/>
    <mergeCell ref="H9:H11"/>
    <mergeCell ref="I9:I11"/>
    <mergeCell ref="S9:S11"/>
    <mergeCell ref="M10:O10"/>
    <mergeCell ref="T9:T11"/>
    <mergeCell ref="P10:P11"/>
    <mergeCell ref="R9:R11"/>
    <mergeCell ref="J9:J11"/>
    <mergeCell ref="K9:K11"/>
  </mergeCells>
  <dataValidations count="5">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formula1>0</formula1>
    </dataValidation>
    <dataValidation type="whole" operator="greaterThanOrEqual" allowBlank="1" showInputMessage="1" showErrorMessage="1" sqref="H13:J13">
      <formula1>0</formula1>
    </dataValidation>
  </dataValidations>
  <hyperlinks>
    <hyperlink ref="G16" location="'Shareholding Pattern'!F46" display="Total"/>
    <hyperlink ref="F16" location="'Shareholding Pattern'!F46" display="Total"/>
  </hyperlink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sheetPr codeName="Sheet25">
    <tabColor theme="7"/>
  </sheetPr>
  <dimension ref="B1:XFC16"/>
  <sheetViews>
    <sheetView showGridLines="0" topLeftCell="A7" zoomScale="90" zoomScaleNormal="90" workbookViewId="0">
      <selection activeCell="G16" sqref="G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4.7109375" customWidth="1"/>
    <col min="14" max="14" width="14.7109375" hidden="1" customWidth="1"/>
    <col min="15" max="15" width="17.28515625" customWidth="1"/>
    <col min="16" max="16" width="10" customWidth="1"/>
    <col min="17" max="19" width="14.5703125" hidden="1" customWidth="1"/>
    <col min="20" max="20" width="19.140625" customWidth="1"/>
    <col min="21" max="21" width="15.42578125" hidden="1" customWidth="1"/>
    <col min="22" max="22" width="8.140625" hidden="1" customWidth="1"/>
    <col min="23" max="23" width="15.42578125" customWidth="1"/>
    <col min="24" max="24" width="20.42578125" customWidth="1"/>
    <col min="25" max="25" width="2" customWidth="1"/>
    <col min="26" max="26" width="2.140625" customWidth="1"/>
    <col min="27" max="16383" width="3.710937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38" t="s">
        <v>137</v>
      </c>
      <c r="F9" s="521" t="s">
        <v>136</v>
      </c>
      <c r="G9" s="521" t="s">
        <v>1</v>
      </c>
      <c r="H9" s="521" t="s">
        <v>3</v>
      </c>
      <c r="I9" s="521" t="s">
        <v>4</v>
      </c>
      <c r="J9" s="521" t="s">
        <v>5</v>
      </c>
      <c r="K9" s="521" t="s">
        <v>6</v>
      </c>
      <c r="L9" s="521" t="s">
        <v>7</v>
      </c>
      <c r="M9" s="521" t="s">
        <v>8</v>
      </c>
      <c r="N9" s="521"/>
      <c r="O9" s="521"/>
      <c r="P9" s="521"/>
      <c r="Q9" s="521" t="s">
        <v>9</v>
      </c>
      <c r="R9" s="538" t="s">
        <v>505</v>
      </c>
      <c r="S9" s="538" t="s">
        <v>134</v>
      </c>
      <c r="T9" s="521" t="s">
        <v>107</v>
      </c>
      <c r="U9" s="521" t="s">
        <v>12</v>
      </c>
      <c r="V9" s="521"/>
      <c r="W9" s="521" t="s">
        <v>14</v>
      </c>
      <c r="X9" s="473" t="s">
        <v>499</v>
      </c>
    </row>
    <row r="10" spans="5:30" ht="31.5" customHeight="1">
      <c r="E10" s="536"/>
      <c r="F10" s="521"/>
      <c r="G10" s="521"/>
      <c r="H10" s="521"/>
      <c r="I10" s="521"/>
      <c r="J10" s="521"/>
      <c r="K10" s="521"/>
      <c r="L10" s="521"/>
      <c r="M10" s="521" t="s">
        <v>15</v>
      </c>
      <c r="N10" s="521"/>
      <c r="O10" s="521"/>
      <c r="P10" s="521" t="s">
        <v>16</v>
      </c>
      <c r="Q10" s="521"/>
      <c r="R10" s="536"/>
      <c r="S10" s="536"/>
      <c r="T10" s="521"/>
      <c r="U10" s="521"/>
      <c r="V10" s="521"/>
      <c r="W10" s="521"/>
      <c r="X10" s="521"/>
    </row>
    <row r="11" spans="5:30" ht="78.75" customHeight="1">
      <c r="E11" s="537"/>
      <c r="F11" s="521"/>
      <c r="G11" s="521"/>
      <c r="H11" s="521"/>
      <c r="I11" s="521"/>
      <c r="J11" s="521"/>
      <c r="K11" s="521"/>
      <c r="L11" s="521"/>
      <c r="M11" s="40" t="s">
        <v>17</v>
      </c>
      <c r="N11" s="40" t="s">
        <v>18</v>
      </c>
      <c r="O11" s="40" t="s">
        <v>19</v>
      </c>
      <c r="P11" s="521"/>
      <c r="Q11" s="521"/>
      <c r="R11" s="537"/>
      <c r="S11" s="537"/>
      <c r="T11" s="521"/>
      <c r="U11" s="40" t="s">
        <v>20</v>
      </c>
      <c r="V11" s="40" t="s">
        <v>21</v>
      </c>
      <c r="W11" s="521"/>
      <c r="X11" s="521"/>
    </row>
    <row r="12" spans="5:30" ht="15.75">
      <c r="E12" s="9" t="s">
        <v>100</v>
      </c>
      <c r="F12" s="71" t="s">
        <v>69</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row>
    <row r="14" spans="5:30" ht="24.75" customHeight="1">
      <c r="E14" s="42"/>
      <c r="F14" s="43"/>
      <c r="G14" s="265" t="s">
        <v>494</v>
      </c>
      <c r="H14" s="43"/>
      <c r="I14" s="43"/>
      <c r="J14" s="43"/>
      <c r="K14" s="43"/>
      <c r="L14" s="43"/>
      <c r="M14" s="43"/>
      <c r="N14" s="43"/>
      <c r="O14" s="43"/>
      <c r="P14" s="43"/>
      <c r="Q14" s="43"/>
      <c r="R14" s="43"/>
      <c r="S14" s="43"/>
      <c r="T14" s="43"/>
      <c r="U14" s="43"/>
      <c r="V14" s="43"/>
      <c r="W14" s="43"/>
      <c r="X14" s="44"/>
    </row>
    <row r="15" spans="5:30" ht="24.95" hidden="1" customHeight="1">
      <c r="E15" s="12"/>
      <c r="F15" s="13"/>
      <c r="G15" s="13"/>
      <c r="H15" s="13"/>
      <c r="I15" s="13"/>
      <c r="J15" s="13"/>
      <c r="K15" s="13"/>
      <c r="L15" s="13"/>
      <c r="M15" s="13"/>
      <c r="N15" s="13"/>
      <c r="O15" s="13"/>
      <c r="P15" s="13"/>
      <c r="Q15" s="13"/>
      <c r="R15" s="13"/>
      <c r="S15" s="13"/>
      <c r="T15" s="13"/>
      <c r="U15" s="13"/>
      <c r="V15" s="13"/>
      <c r="W15" s="198"/>
    </row>
    <row r="16" spans="5:30" ht="20.100000000000001" customHeight="1">
      <c r="E16" s="37"/>
      <c r="F16" s="83" t="s">
        <v>450</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Pattern'!$L$57*100,2),""),"")</f>
        <v/>
      </c>
      <c r="M16" s="35" t="str">
        <f>+IFERROR(IF(COUNT(M13:M15),ROUND(SUM(M13:M15),0),""),"")</f>
        <v/>
      </c>
      <c r="N16" s="35" t="str">
        <f>+IFERROR(IF(COUNT(N13:N15),ROUND(SUM(N13:N15),0),""),"")</f>
        <v/>
      </c>
      <c r="O16" s="35" t="str">
        <f>+IFERROR(IF(COUNT(O13:O15),ROUND(SUM(O13:O15),0),""),"")</f>
        <v/>
      </c>
      <c r="P16" s="17" t="str">
        <f>+IFERROR(IF(COUNT(O16),ROUND(O16/('Shareholding Pattern'!$P$58)*100,2),""),"")</f>
        <v/>
      </c>
      <c r="Q16" s="53" t="str">
        <f>+IFERROR(IF(COUNT(Q13:Q15),ROUND(SUM(Q13:Q15),0),""),"")</f>
        <v/>
      </c>
      <c r="R16" s="53" t="str">
        <f>+IFERROR(IF(COUNT(R13:R15),ROUND(SUM(R13:R15),0),""),"")</f>
        <v/>
      </c>
      <c r="S16" s="53" t="str">
        <f>+IFERROR(IF(COUNT(S13:S15),ROUND(SUM(S13:S15),0),""),"")</f>
        <v/>
      </c>
      <c r="T16" s="17" t="str">
        <f>+IFERROR(IF(COUNT(K16,S16),ROUND(SUM(S16,K16)/SUM('Shareholding Pattern'!$L$57,'Shareholding Pattern'!$T$57)*100,2),""),"")</f>
        <v/>
      </c>
      <c r="U16" s="53" t="str">
        <f>+IFERROR(IF(COUNT(U13:U15),ROUND(SUM(U13:U15),0),""),"")</f>
        <v/>
      </c>
      <c r="V16" s="17" t="str">
        <f>+IFERROR(IF(COUNT(U16),ROUND(SUM(U16)/SUM(K16)*100,2),""),0)</f>
        <v/>
      </c>
      <c r="W16" s="53" t="str">
        <f>+IFERROR(IF(COUNT(W13:W15),ROUND(SUM(W13:W15),0),""),"")</f>
        <v/>
      </c>
    </row>
  </sheetData>
  <sheetProtection sheet="1" objects="1" scenarios="1"/>
  <mergeCells count="18">
    <mergeCell ref="X9:X11"/>
    <mergeCell ref="M10:O10"/>
    <mergeCell ref="P10:P11"/>
    <mergeCell ref="J9:J11"/>
    <mergeCell ref="K9:K11"/>
    <mergeCell ref="L9:L11"/>
    <mergeCell ref="M9:P9"/>
    <mergeCell ref="Q9:Q11"/>
    <mergeCell ref="R9:R11"/>
    <mergeCell ref="U9:V10"/>
    <mergeCell ref="W9:W11"/>
    <mergeCell ref="T9:T11"/>
    <mergeCell ref="S9:S11"/>
    <mergeCell ref="E9:E11"/>
    <mergeCell ref="F9:F11"/>
    <mergeCell ref="G9:G11"/>
    <mergeCell ref="H9:H11"/>
    <mergeCell ref="I9:I11"/>
  </mergeCells>
  <dataValidations disablePrompts="1" count="5">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M13:N13 Q13:R13">
      <formula1>0</formula1>
    </dataValidation>
    <dataValidation type="whole" operator="greaterThanOrEqual" allowBlank="1" showInputMessage="1" showErrorMessage="1" sqref="H13:J13">
      <formula1>0</formula1>
    </dataValidation>
  </dataValidations>
  <hyperlinks>
    <hyperlink ref="G16" location="'Shareholding Pattern'!F47" display="Total"/>
    <hyperlink ref="F16" location="'Shareholding Pattern'!F47" display="Total"/>
  </hyperlink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sheetPr codeName="Sheet26">
    <tabColor theme="7"/>
  </sheetPr>
  <dimension ref="A1:XFC20"/>
  <sheetViews>
    <sheetView showGridLines="0" topLeftCell="G7" zoomScale="90" zoomScaleNormal="90" workbookViewId="0">
      <selection activeCell="Y15" sqref="D15:AC15"/>
    </sheetView>
  </sheetViews>
  <sheetFormatPr defaultColWidth="0" defaultRowHeight="15"/>
  <cols>
    <col min="1" max="1" width="2.28515625" customWidth="1"/>
    <col min="2" max="2" width="2.140625" hidden="1" customWidth="1"/>
    <col min="3" max="3" width="2" hidden="1" customWidth="1"/>
    <col min="4" max="4" width="7.140625" customWidth="1"/>
    <col min="5" max="5" width="42.85546875" customWidth="1"/>
    <col min="6" max="6" width="46.5703125" customWidth="1"/>
    <col min="7" max="7" width="40" customWidth="1"/>
    <col min="8" max="9" width="13.7109375" customWidth="1"/>
    <col min="10" max="10" width="14.5703125" customWidth="1"/>
    <col min="11" max="12" width="14.5703125" hidden="1" customWidth="1"/>
    <col min="13" max="13" width="15.5703125" customWidth="1"/>
    <col min="14" max="14" width="15.28515625" customWidth="1"/>
    <col min="15" max="15" width="15.42578125" customWidth="1"/>
    <col min="16" max="16" width="16" hidden="1" customWidth="1"/>
    <col min="17" max="17" width="16.42578125" customWidth="1"/>
    <col min="18" max="18" width="12.5703125" customWidth="1"/>
    <col min="19" max="21" width="14.5703125" hidden="1" customWidth="1"/>
    <col min="22" max="22" width="19.140625" customWidth="1"/>
    <col min="23" max="23" width="15.42578125" hidden="1" customWidth="1"/>
    <col min="24" max="24" width="8.5703125" hidden="1" customWidth="1"/>
    <col min="25" max="25" width="15.42578125" customWidth="1"/>
    <col min="26" max="26" width="20.85546875" customWidth="1"/>
    <col min="27" max="27" width="2.7109375" customWidth="1"/>
    <col min="28" max="16383" width="2.5703125" hidden="1"/>
    <col min="16384" max="16384" width="1.85546875" hidden="1"/>
  </cols>
  <sheetData>
    <row r="1" spans="4:54" hidden="1">
      <c r="I1">
        <v>1</v>
      </c>
      <c r="J1">
        <v>0</v>
      </c>
      <c r="AE1" t="s">
        <v>399</v>
      </c>
      <c r="AF1" t="s">
        <v>498</v>
      </c>
      <c r="AG1" t="s">
        <v>405</v>
      </c>
      <c r="AH1" t="s">
        <v>452</v>
      </c>
      <c r="AI1" t="s">
        <v>526</v>
      </c>
      <c r="AJ1" t="s">
        <v>408</v>
      </c>
      <c r="AK1" t="s">
        <v>447</v>
      </c>
      <c r="AL1" t="s">
        <v>396</v>
      </c>
      <c r="AM1" t="s">
        <v>506</v>
      </c>
      <c r="AN1" t="s">
        <v>521</v>
      </c>
      <c r="AO1" t="s">
        <v>522</v>
      </c>
      <c r="AP1" t="s">
        <v>630</v>
      </c>
      <c r="AQ1" t="s">
        <v>394</v>
      </c>
      <c r="AR1" t="s">
        <v>635</v>
      </c>
      <c r="AS1" t="s">
        <v>631</v>
      </c>
      <c r="AT1" t="s">
        <v>404</v>
      </c>
      <c r="AU1" t="s">
        <v>632</v>
      </c>
      <c r="AV1" t="s">
        <v>633</v>
      </c>
      <c r="AW1" t="s">
        <v>634</v>
      </c>
      <c r="AX1" t="s">
        <v>527</v>
      </c>
      <c r="AY1" t="s">
        <v>400</v>
      </c>
      <c r="AZ1" t="s">
        <v>395</v>
      </c>
      <c r="BA1" t="s">
        <v>393</v>
      </c>
      <c r="BB1" t="s">
        <v>451</v>
      </c>
    </row>
    <row r="2" spans="4:54" hidden="1">
      <c r="E2" t="s">
        <v>350</v>
      </c>
      <c r="F2" t="s">
        <v>435</v>
      </c>
      <c r="G2" t="s">
        <v>249</v>
      </c>
      <c r="H2" t="s">
        <v>420</v>
      </c>
      <c r="I2" t="s">
        <v>144</v>
      </c>
      <c r="J2" t="s">
        <v>165</v>
      </c>
      <c r="K2" t="s">
        <v>166</v>
      </c>
      <c r="L2" t="s">
        <v>167</v>
      </c>
      <c r="M2" t="s">
        <v>168</v>
      </c>
      <c r="N2" t="s">
        <v>169</v>
      </c>
      <c r="O2" t="s">
        <v>170</v>
      </c>
      <c r="P2" t="s">
        <v>171</v>
      </c>
      <c r="Q2" t="s">
        <v>172</v>
      </c>
      <c r="R2" t="s">
        <v>173</v>
      </c>
      <c r="S2" t="s">
        <v>174</v>
      </c>
      <c r="T2" t="s">
        <v>175</v>
      </c>
      <c r="U2" t="s">
        <v>176</v>
      </c>
      <c r="V2" t="s">
        <v>177</v>
      </c>
      <c r="W2" t="s">
        <v>178</v>
      </c>
      <c r="X2" t="s">
        <v>179</v>
      </c>
      <c r="Y2" t="s">
        <v>182</v>
      </c>
      <c r="Z2" t="s">
        <v>499</v>
      </c>
    </row>
    <row r="3" spans="4:54" hidden="1">
      <c r="I3">
        <f ca="1">+IFERROR(IF(COUNT(I13:I16),ROUND(SUMIF($F$13:I16,"Category",I13:I16),0),""),"")</f>
        <v>1</v>
      </c>
      <c r="J3">
        <f ca="1">+IFERROR(IF(COUNT(J13:J16),ROUND(SUMIF($F$13:J16,"Category",J13:J16),0),""),"")</f>
        <v>50</v>
      </c>
      <c r="K3" t="str">
        <f>+IFERROR(IF(COUNT(K13:K16),ROUND(SUMIF($F$13:K16,"Category",K13:K16),0),""),"")</f>
        <v/>
      </c>
      <c r="L3" t="str">
        <f>+IFERROR(IF(COUNT(L13:L16),ROUND(SUMIF($F$13:L16,"Category",L13:L16),0),""),"")</f>
        <v/>
      </c>
      <c r="M3">
        <f ca="1">+IFERROR(IF(COUNT(M13:M16),ROUND(SUMIF($F$13:M16,"Category",M13:M16),0),""),"")</f>
        <v>50</v>
      </c>
      <c r="N3">
        <f ca="1">+IFERROR(IF(COUNT(N13:N16),ROUND(SUMIF($F$13:N16,"Category",N13:N16),2),""),"")</f>
        <v>0.02</v>
      </c>
      <c r="O3">
        <f ca="1">+IFERROR(IF(COUNT(O13:O16),ROUND(SUMIF($F$13:O16,"Category",O13:O16),0),""),"")</f>
        <v>50</v>
      </c>
      <c r="P3" t="str">
        <f>+IFERROR(IF(COUNT(P13:P16),ROUND(SUMIF($F$13:P16,"Category",P13:P16),0),""),"")</f>
        <v/>
      </c>
      <c r="Q3">
        <f ca="1">+IFERROR(IF(COUNT(Q13:Q16),ROUND(SUMIF($F$13:Q16,"Category",Q13:Q16),0),""),"")</f>
        <v>50</v>
      </c>
      <c r="R3">
        <f ca="1">+IFERROR(IF(COUNT(R13:R16),ROUND(SUMIF($F$13:R16,"Category",R13:R16),2),""),"")</f>
        <v>0.02</v>
      </c>
      <c r="S3" t="str">
        <f>+IFERROR(IF(COUNT(S13:S16),ROUND(SUMIF($F$13:S16,"Category",S13:S16),0),""),"")</f>
        <v/>
      </c>
      <c r="T3" t="str">
        <f>+IFERROR(IF(COUNT(T13:T16),ROUND(SUMIF($F$13:T16,"Category",T13:T16),0),""),"")</f>
        <v/>
      </c>
      <c r="U3" t="str">
        <f>+IFERROR(IF(COUNT(U13:U16),ROUND(SUMIF($F$13:U16,"Category",U13:U16),0),""),"")</f>
        <v/>
      </c>
      <c r="V3">
        <f ca="1">+IFERROR(IF(COUNT(V13:V16),ROUND(SUMIF($F$13:V16,"Category",V13:V16),2),""),"")</f>
        <v>0.02</v>
      </c>
      <c r="W3" t="str">
        <f>+IFERROR(IF(COUNT(W13:W16),ROUND(SUMIF($F$13:W16,"Category",W13:W16),0),""),"")</f>
        <v/>
      </c>
      <c r="X3" t="str">
        <f>+IFERROR(IF(COUNT(X13:X16),ROUND(SUMIF($F$13:X16,"Category",X13:X16),2),""),"")</f>
        <v/>
      </c>
      <c r="Y3">
        <f ca="1">+IFERROR(IF(COUNT(Y13:Y16),ROUND(SUMIF($F$13:Y16,"Category",Y13:Y16),0),""),"")</f>
        <v>0</v>
      </c>
    </row>
    <row r="4" spans="4:54" hidden="1"/>
    <row r="5" spans="4:54" hidden="1"/>
    <row r="6" spans="4:54" hidden="1"/>
    <row r="9" spans="4:54" ht="29.25" customHeight="1">
      <c r="D9" s="538" t="s">
        <v>137</v>
      </c>
      <c r="E9" s="538" t="s">
        <v>34</v>
      </c>
      <c r="F9" s="538" t="s">
        <v>434</v>
      </c>
      <c r="G9" s="480" t="s">
        <v>136</v>
      </c>
      <c r="H9" s="521" t="s">
        <v>1</v>
      </c>
      <c r="I9" s="480" t="s">
        <v>426</v>
      </c>
      <c r="J9" s="521" t="s">
        <v>3</v>
      </c>
      <c r="K9" s="521" t="s">
        <v>4</v>
      </c>
      <c r="L9" s="521" t="s">
        <v>5</v>
      </c>
      <c r="M9" s="521" t="s">
        <v>6</v>
      </c>
      <c r="N9" s="521" t="s">
        <v>7</v>
      </c>
      <c r="O9" s="521" t="s">
        <v>8</v>
      </c>
      <c r="P9" s="521"/>
      <c r="Q9" s="521"/>
      <c r="R9" s="521"/>
      <c r="S9" s="521" t="s">
        <v>9</v>
      </c>
      <c r="T9" s="538" t="s">
        <v>505</v>
      </c>
      <c r="U9" s="538" t="s">
        <v>134</v>
      </c>
      <c r="V9" s="521" t="s">
        <v>107</v>
      </c>
      <c r="W9" s="521" t="s">
        <v>12</v>
      </c>
      <c r="X9" s="521"/>
      <c r="Y9" s="521" t="s">
        <v>14</v>
      </c>
      <c r="Z9" s="473" t="s">
        <v>499</v>
      </c>
      <c r="AV9" t="s">
        <v>34</v>
      </c>
    </row>
    <row r="10" spans="4:54" ht="31.5" customHeight="1">
      <c r="D10" s="536"/>
      <c r="E10" s="536"/>
      <c r="F10" s="536"/>
      <c r="G10" s="481"/>
      <c r="H10" s="521"/>
      <c r="I10" s="536"/>
      <c r="J10" s="521"/>
      <c r="K10" s="521"/>
      <c r="L10" s="521"/>
      <c r="M10" s="521"/>
      <c r="N10" s="521"/>
      <c r="O10" s="521" t="s">
        <v>15</v>
      </c>
      <c r="P10" s="521"/>
      <c r="Q10" s="521"/>
      <c r="R10" s="521" t="s">
        <v>16</v>
      </c>
      <c r="S10" s="521"/>
      <c r="T10" s="536"/>
      <c r="U10" s="536"/>
      <c r="V10" s="521"/>
      <c r="W10" s="521"/>
      <c r="X10" s="521"/>
      <c r="Y10" s="521"/>
      <c r="Z10" s="521"/>
      <c r="AV10" t="s">
        <v>437</v>
      </c>
    </row>
    <row r="11" spans="4:54" ht="75">
      <c r="D11" s="537"/>
      <c r="E11" s="537"/>
      <c r="F11" s="537"/>
      <c r="G11" s="482"/>
      <c r="H11" s="521"/>
      <c r="I11" s="537"/>
      <c r="J11" s="521"/>
      <c r="K11" s="521"/>
      <c r="L11" s="521"/>
      <c r="M11" s="521"/>
      <c r="N11" s="521"/>
      <c r="O11" s="40" t="s">
        <v>17</v>
      </c>
      <c r="P11" s="40" t="s">
        <v>18</v>
      </c>
      <c r="Q11" s="40" t="s">
        <v>19</v>
      </c>
      <c r="R11" s="521"/>
      <c r="S11" s="521"/>
      <c r="T11" s="537"/>
      <c r="U11" s="537"/>
      <c r="V11" s="521"/>
      <c r="W11" s="40" t="s">
        <v>20</v>
      </c>
      <c r="X11" s="40" t="s">
        <v>21</v>
      </c>
      <c r="Y11" s="521"/>
      <c r="Z11" s="521"/>
    </row>
    <row r="12" spans="4:54" ht="24.75" customHeight="1">
      <c r="D12" s="9" t="s">
        <v>101</v>
      </c>
      <c r="E12" s="81" t="s">
        <v>33</v>
      </c>
      <c r="F12" s="82"/>
      <c r="G12" s="210"/>
      <c r="H12" s="30"/>
      <c r="I12" s="30"/>
      <c r="J12" s="30"/>
      <c r="K12" s="30"/>
      <c r="L12" s="30"/>
      <c r="M12" s="30"/>
      <c r="N12" s="30"/>
      <c r="O12" s="30"/>
      <c r="P12" s="30"/>
      <c r="Q12" s="30"/>
      <c r="R12" s="30"/>
      <c r="S12" s="30"/>
      <c r="T12" s="30"/>
      <c r="U12" s="30"/>
      <c r="V12" s="30"/>
      <c r="W12" s="30"/>
      <c r="X12" s="30"/>
      <c r="Y12" s="30"/>
      <c r="Z12" s="31"/>
      <c r="AG12" s="11"/>
    </row>
    <row r="13" spans="4:54" s="11" customFormat="1" ht="20.100000000000001" hidden="1" customHeight="1">
      <c r="D13" s="89"/>
      <c r="E13" s="77"/>
      <c r="F13" s="77"/>
      <c r="G13" s="289"/>
      <c r="H13" s="10"/>
      <c r="I13" s="16"/>
      <c r="J13" s="16"/>
      <c r="K13" s="47"/>
      <c r="L13" s="47"/>
      <c r="M13" s="238" t="str">
        <f>+IFERROR(IF(COUNT(J13:L13),ROUND(SUM(J13:L13),0),""),"")</f>
        <v/>
      </c>
      <c r="N13" s="236" t="str">
        <f>+IFERROR(IF(COUNT(M13),ROUND(M13/'Shareholding Pattern'!$L$57*100,2),""),"")</f>
        <v/>
      </c>
      <c r="O13" s="278" t="str">
        <f>IF(J13="","",J13)</f>
        <v/>
      </c>
      <c r="P13" s="47"/>
      <c r="Q13" s="238" t="str">
        <f>+IFERROR(IF(COUNT(O13:P13),ROUND(SUM(O13,P13),2),""),"")</f>
        <v/>
      </c>
      <c r="R13" s="236" t="str">
        <f>+IFERROR(IF(COUNT(Q13),ROUND(Q13/('Shareholding Pattern'!$P$58)*100,2),""),"")</f>
        <v/>
      </c>
      <c r="S13" s="47"/>
      <c r="T13" s="47"/>
      <c r="U13" s="239" t="str">
        <f>+IFERROR(IF(COUNT(S13:T13),ROUND(SUM(S13:T13),0),""),"")</f>
        <v/>
      </c>
      <c r="V13" s="236" t="str">
        <f>+IFERROR(IF(COUNT(M13,U13),ROUND(SUM(U13,M13)/SUM('Shareholding Pattern'!$L$57,'Shareholding Pattern'!$T$57)*100,2),""),"")</f>
        <v/>
      </c>
      <c r="W13" s="47"/>
      <c r="X13" s="236" t="str">
        <f>+IFERROR(IF(COUNT(W13),ROUND(SUM(W13)/SUM(M13)*100,2),""),0)</f>
        <v/>
      </c>
      <c r="Y13" s="47"/>
      <c r="Z13" s="284"/>
      <c r="AC13" s="11">
        <f>IF(SUM(H13:Y13)&gt;0,1,0)</f>
        <v>0</v>
      </c>
      <c r="AD13" s="11">
        <f>SUM(AC16:AC65535)</f>
        <v>0</v>
      </c>
      <c r="AG13"/>
    </row>
    <row r="14" spans="4:54" ht="24.75" customHeight="1">
      <c r="D14" s="42"/>
      <c r="E14" s="43"/>
      <c r="F14" s="43"/>
      <c r="G14" s="43"/>
      <c r="H14" s="43"/>
      <c r="I14" s="43"/>
      <c r="J14" s="43"/>
      <c r="K14" s="43"/>
      <c r="L14" s="43"/>
      <c r="M14" s="43"/>
      <c r="N14" s="43"/>
      <c r="O14" s="43"/>
      <c r="P14" s="43"/>
      <c r="Q14" s="43"/>
      <c r="R14" s="43"/>
      <c r="S14" s="43"/>
      <c r="T14" s="43"/>
      <c r="U14" s="43"/>
      <c r="V14" s="43"/>
      <c r="W14" s="43"/>
      <c r="X14" s="43"/>
      <c r="Y14" s="43"/>
      <c r="Z14" s="44"/>
    </row>
    <row r="15" spans="4:54" ht="24.75" customHeight="1">
      <c r="D15" s="89">
        <v>1</v>
      </c>
      <c r="E15" s="408" t="s">
        <v>394</v>
      </c>
      <c r="F15" s="408" t="s">
        <v>34</v>
      </c>
      <c r="G15" s="289"/>
      <c r="H15" s="402"/>
      <c r="I15" s="47">
        <v>1</v>
      </c>
      <c r="J15" s="47">
        <v>50</v>
      </c>
      <c r="K15" s="47"/>
      <c r="L15" s="47"/>
      <c r="M15" s="406">
        <f>+IFERROR(IF(COUNT(J15:L15),ROUND(SUM(J15:L15),0),""),"")</f>
        <v>50</v>
      </c>
      <c r="N15" s="237">
        <f>+IFERROR(IF(COUNT(M15),ROUND(M15/'Shareholding Pattern'!$L$57*100,2),""),"")</f>
        <v>0.02</v>
      </c>
      <c r="O15" s="47">
        <f>IF(J15="","",J15)</f>
        <v>50</v>
      </c>
      <c r="P15" s="47"/>
      <c r="Q15" s="406">
        <f>+IFERROR(IF(COUNT(O15:P15),ROUND(SUM(O15,P15),2),""),"")</f>
        <v>50</v>
      </c>
      <c r="R15" s="237">
        <f>+IFERROR(IF(COUNT(Q15),ROUND(Q15/('Shareholding Pattern'!$P$58)*100,2),""),"")</f>
        <v>0.02</v>
      </c>
      <c r="S15" s="47"/>
      <c r="T15" s="47"/>
      <c r="U15" s="406" t="str">
        <f>+IFERROR(IF(COUNT(S15:T15),ROUND(SUM(S15:T15),0),""),"")</f>
        <v/>
      </c>
      <c r="V15" s="236">
        <f>+IFERROR(IF(COUNT(M15,U15),ROUND(SUM(U15,M15)/SUM('Shareholding Pattern'!$L$57,'Shareholding Pattern'!$T$57)*100,2),""),"")</f>
        <v>0.02</v>
      </c>
      <c r="W15" s="47"/>
      <c r="X15" s="236" t="str">
        <f>+IFERROR(IF(COUNT(W15),ROUND(SUM(W15)/SUM(M15)*100,2),""),0)</f>
        <v/>
      </c>
      <c r="Y15" s="47">
        <v>0</v>
      </c>
      <c r="Z15" s="284"/>
      <c r="AA15" s="11"/>
      <c r="AB15" s="11"/>
      <c r="AC15" s="11">
        <f>IF(SUM(H15:Y15)&gt;0,1,0)</f>
        <v>1</v>
      </c>
    </row>
    <row r="16" spans="4:54" ht="0.75" hidden="1" customHeight="1">
      <c r="D16" s="204"/>
      <c r="E16" s="18"/>
      <c r="F16" s="18"/>
      <c r="G16" s="18"/>
      <c r="H16" s="18"/>
      <c r="I16" s="18"/>
      <c r="J16" s="18"/>
      <c r="K16" s="202"/>
      <c r="L16" s="202"/>
      <c r="M16" s="18"/>
      <c r="N16" s="18"/>
      <c r="O16" s="202"/>
      <c r="P16" s="202"/>
      <c r="Q16" s="18"/>
      <c r="R16" s="18"/>
      <c r="S16" s="18"/>
      <c r="T16" s="18"/>
      <c r="U16" s="18"/>
      <c r="V16" s="18"/>
      <c r="W16" s="202"/>
      <c r="X16" s="18"/>
      <c r="Y16" s="203"/>
    </row>
    <row r="17" spans="4:25" ht="24.95" customHeight="1">
      <c r="D17" s="129"/>
      <c r="E17" s="36"/>
      <c r="F17" s="36"/>
      <c r="G17" s="60" t="s">
        <v>450</v>
      </c>
      <c r="H17" s="60" t="s">
        <v>19</v>
      </c>
      <c r="I17" s="64">
        <f ca="1">+IFERROR(IF(COUNT(I13:I16),ROUND(SUMIF($F$13:I16,"Category",I13:I16),0),""),"")</f>
        <v>1</v>
      </c>
      <c r="J17" s="64">
        <f ca="1">+IFERROR(IF(COUNT(J13:J16),ROUND(SUMIF($F$13:J16,"Category",J13:J16),0),""),"")</f>
        <v>50</v>
      </c>
      <c r="K17" s="64" t="str">
        <f>+IFERROR(IF(COUNT(K13:K16),ROUND(SUMIF($F$13:K16,"Category",K13:K16),0),""),"")</f>
        <v/>
      </c>
      <c r="L17" s="64" t="str">
        <f>+IFERROR(IF(COUNT(L13:L16),ROUND(SUMIF($F$13:L16,"Category",L13:L16),0),""),"")</f>
        <v/>
      </c>
      <c r="M17" s="64">
        <f ca="1">+IFERROR(IF(COUNT(M13:M16),ROUND(SUMIF($F$13:M16,"Category",M13:M16),0),""),"")</f>
        <v>50</v>
      </c>
      <c r="N17" s="236">
        <f ca="1">+IFERROR(IF(COUNT(N13:N16),ROUND(SUMIF($F$13:N16,"Category",N13:N16),2),""),"")</f>
        <v>0.02</v>
      </c>
      <c r="O17" s="189">
        <f ca="1">+IFERROR(IF(COUNT(O13:O16),ROUND(SUMIF($F$13:O16,"Category",O13:O16),0),""),"")</f>
        <v>50</v>
      </c>
      <c r="P17" s="189" t="str">
        <f>+IFERROR(IF(COUNT(P13:P16),ROUND(SUMIF($F$13:P16,"Category",P13:P16),0),""),"")</f>
        <v/>
      </c>
      <c r="Q17" s="189">
        <f ca="1">+IFERROR(IF(COUNT(Q13:Q16),ROUND(SUMIF($F$13:Q16,"Category",Q13:Q16),0),""),"")</f>
        <v>50</v>
      </c>
      <c r="R17" s="236">
        <f ca="1">+IFERROR(IF(COUNT(R13:R16),ROUND(SUMIF($F$13:R16,"Category",R13:R16),2),""),"")</f>
        <v>0.02</v>
      </c>
      <c r="S17" s="64" t="str">
        <f>+IFERROR(IF(COUNT(S13:S16),ROUND(SUMIF($F$13:S16,"Category",S13:S16),0),""),"")</f>
        <v/>
      </c>
      <c r="T17" s="64" t="str">
        <f>+IFERROR(IF(COUNT(T13:T16),ROUND(SUMIF($F$13:T16,"Category",T13:T16),0),""),"")</f>
        <v/>
      </c>
      <c r="U17" s="64" t="str">
        <f>+IFERROR(IF(COUNT(U13:U16),ROUND(SUMIF($F$13:U16,"Category",U13:U16),0),""),"")</f>
        <v/>
      </c>
      <c r="V17" s="236">
        <f ca="1">+IFERROR(IF(COUNT(V13:V16),ROUND(SUMIF($F$13:V16,"Category",V13:V16),2),""),"")</f>
        <v>0.02</v>
      </c>
      <c r="W17" s="64" t="str">
        <f>+IFERROR(IF(COUNT(W13:W16),ROUND(SUMIF($F$13:W16,"Category",W13:W16),0),""),"")</f>
        <v/>
      </c>
      <c r="X17" s="236" t="str">
        <f>+IFERROR(IF(COUNT(W17),ROUND(SUM(W17)/SUM(M17)*100,2),""),0)</f>
        <v/>
      </c>
      <c r="Y17" s="64">
        <f ca="1">+IFERROR(IF(COUNT(Y13:Y16),ROUND(SUMIF($F$13:Y16,"Category",Y13:Y16),0),""),"")</f>
        <v>0</v>
      </c>
    </row>
    <row r="20" spans="4:25">
      <c r="G20" s="102"/>
    </row>
  </sheetData>
  <sheetProtection password="F884" sheet="1" objects="1" scenarios="1"/>
  <dataConsolidate/>
  <mergeCells count="21">
    <mergeCell ref="Z9:Z11"/>
    <mergeCell ref="J9:J11"/>
    <mergeCell ref="Y9:Y11"/>
    <mergeCell ref="V9:V11"/>
    <mergeCell ref="T9:T11"/>
    <mergeCell ref="U9:U11"/>
    <mergeCell ref="O10:Q10"/>
    <mergeCell ref="R10:R11"/>
    <mergeCell ref="O9:R9"/>
    <mergeCell ref="S9:S11"/>
    <mergeCell ref="W9:X10"/>
    <mergeCell ref="K9:K11"/>
    <mergeCell ref="L9:L11"/>
    <mergeCell ref="M9:M11"/>
    <mergeCell ref="N9:N11"/>
    <mergeCell ref="D9:D11"/>
    <mergeCell ref="E9:E11"/>
    <mergeCell ref="F9:F11"/>
    <mergeCell ref="H9:H11"/>
    <mergeCell ref="I9:I11"/>
    <mergeCell ref="G9:G11"/>
  </mergeCells>
  <dataValidations count="7">
    <dataValidation type="whole" operator="lessThanOrEqual" allowBlank="1" showInputMessage="1" showErrorMessage="1" sqref="Y13 Y15">
      <formula1>M13</formula1>
    </dataValidation>
    <dataValidation type="whole" operator="lessThanOrEqual" allowBlank="1" showInputMessage="1" showErrorMessage="1" sqref="W13 W15">
      <formula1>J13</formula1>
    </dataValidation>
    <dataValidation type="whole" operator="greaterThanOrEqual" allowBlank="1" showInputMessage="1" showErrorMessage="1" sqref="O13:P13 J13:L13 S13:T13 O15:P15 J15:L15 S15:T15">
      <formula1>0</formula1>
    </dataValidation>
    <dataValidation type="textLength" operator="equal" allowBlank="1" showInputMessage="1" showErrorMessage="1" prompt="[A-Z][A-Z][A-Z][A-Z][A-Z][0-9][0-9][0-9][0-9][A-Z]_x000a__x000a_In absence of PAN write : ZZZZZ9999Z" sqref="H13 H15">
      <formula1>10</formula1>
    </dataValidation>
    <dataValidation type="list" allowBlank="1" showInputMessage="1" showErrorMessage="1" sqref="F13 F15">
      <formula1>$AV$9:$AV$10</formula1>
    </dataValidation>
    <dataValidation type="list" allowBlank="1" showInputMessage="1" showErrorMessage="1" sqref="E13 E15">
      <formula1>$AE$1:$BB$1</formula1>
    </dataValidation>
    <dataValidation type="whole" operator="greaterThan" allowBlank="1" showInputMessage="1" showErrorMessage="1" sqref="I13 I15">
      <formula1>0</formula1>
    </dataValidation>
  </dataValidations>
  <hyperlinks>
    <hyperlink ref="H17" location="'Shareholding Pattern'!F48" display="Total"/>
    <hyperlink ref="G17" location="'Shareholding Pattern'!F48" display="Total"/>
  </hyperlinks>
  <pageMargins left="0.7" right="0.7" top="0.75" bottom="0.75" header="0.3" footer="0.3"/>
  <pageSetup orientation="portrait" r:id="rId1"/>
  <drawing r:id="rId2"/>
  <legacyDrawing r:id="rId3"/>
</worksheet>
</file>

<file path=xl/worksheets/sheet33.xml><?xml version="1.0" encoding="utf-8"?>
<worksheet xmlns="http://schemas.openxmlformats.org/spreadsheetml/2006/main" xmlns:r="http://schemas.openxmlformats.org/officeDocument/2006/relationships">
  <sheetPr codeName="Sheet27">
    <tabColor theme="1"/>
  </sheetPr>
  <dimension ref="A1:XFC16"/>
  <sheetViews>
    <sheetView showGridLines="0" topLeftCell="B7" zoomScale="70" zoomScaleNormal="70" workbookViewId="0">
      <selection activeCell="C15" sqref="C15:AC15"/>
    </sheetView>
  </sheetViews>
  <sheetFormatPr defaultColWidth="0" defaultRowHeight="15"/>
  <cols>
    <col min="1" max="1" width="2.7109375" hidden="1" customWidth="1"/>
    <col min="2" max="2" width="2.7109375" customWidth="1"/>
    <col min="3" max="3" width="7.140625" customWidth="1"/>
    <col min="4" max="6" width="35.7109375" customWidth="1"/>
    <col min="7" max="8" width="13.7109375" customWidth="1"/>
    <col min="9" max="9" width="14.5703125" customWidth="1"/>
    <col min="10" max="11" width="14.5703125" hidden="1" customWidth="1"/>
    <col min="12" max="12" width="15.5703125" customWidth="1"/>
    <col min="13" max="13" width="13.5703125" customWidth="1"/>
    <col min="14" max="14" width="15.42578125" customWidth="1"/>
    <col min="15" max="15" width="16" hidden="1" customWidth="1"/>
    <col min="16" max="16" width="16.42578125" customWidth="1"/>
    <col min="17" max="17" width="13.28515625" customWidth="1"/>
    <col min="18" max="20" width="14.5703125" hidden="1" customWidth="1"/>
    <col min="21" max="21" width="19.28515625" customWidth="1"/>
    <col min="22" max="22" width="15.42578125" hidden="1" customWidth="1"/>
    <col min="23" max="23" width="8.7109375" hidden="1" customWidth="1"/>
    <col min="24" max="24" width="15.42578125" customWidth="1"/>
    <col min="25" max="25" width="19.7109375" customWidth="1"/>
    <col min="26" max="26" width="2.7109375" customWidth="1"/>
    <col min="27" max="27" width="2.7109375" hidden="1" customWidth="1"/>
    <col min="28" max="16383" width="3.85546875" hidden="1"/>
    <col min="16384" max="16384" width="4.85546875" hidden="1"/>
  </cols>
  <sheetData>
    <row r="1" spans="3:30" hidden="1">
      <c r="I1">
        <v>0</v>
      </c>
    </row>
    <row r="2" spans="3:30" hidden="1">
      <c r="D2" t="s">
        <v>351</v>
      </c>
      <c r="E2" t="s">
        <v>352</v>
      </c>
      <c r="F2" t="s">
        <v>249</v>
      </c>
      <c r="G2" t="s">
        <v>420</v>
      </c>
      <c r="H2" t="s">
        <v>144</v>
      </c>
      <c r="I2" t="s">
        <v>165</v>
      </c>
      <c r="J2" t="s">
        <v>166</v>
      </c>
      <c r="K2" t="s">
        <v>167</v>
      </c>
      <c r="L2" t="s">
        <v>168</v>
      </c>
      <c r="M2" t="s">
        <v>169</v>
      </c>
      <c r="N2" t="s">
        <v>170</v>
      </c>
      <c r="O2" t="s">
        <v>171</v>
      </c>
      <c r="P2" t="s">
        <v>172</v>
      </c>
      <c r="Q2" t="s">
        <v>173</v>
      </c>
      <c r="R2" t="s">
        <v>174</v>
      </c>
      <c r="S2" t="s">
        <v>175</v>
      </c>
      <c r="T2" t="s">
        <v>176</v>
      </c>
      <c r="U2" t="s">
        <v>177</v>
      </c>
      <c r="V2" t="s">
        <v>178</v>
      </c>
      <c r="W2" t="s">
        <v>179</v>
      </c>
      <c r="X2" t="s">
        <v>182</v>
      </c>
      <c r="Y2" t="s">
        <v>499</v>
      </c>
      <c r="AC2" t="s">
        <v>409</v>
      </c>
    </row>
    <row r="3" spans="3:30" hidden="1">
      <c r="AC3" t="s">
        <v>410</v>
      </c>
    </row>
    <row r="4" spans="3:30" hidden="1">
      <c r="AC4" t="s">
        <v>411</v>
      </c>
    </row>
    <row r="5" spans="3:30" hidden="1">
      <c r="AC5" t="s">
        <v>412</v>
      </c>
    </row>
    <row r="6" spans="3:30" hidden="1">
      <c r="AC6" t="s">
        <v>413</v>
      </c>
    </row>
    <row r="7" spans="3:30" ht="15" customHeight="1">
      <c r="AC7" t="s">
        <v>401</v>
      </c>
    </row>
    <row r="8" spans="3:30" ht="15" customHeight="1"/>
    <row r="9" spans="3:30" ht="29.25" customHeight="1">
      <c r="C9" s="553" t="s">
        <v>140</v>
      </c>
      <c r="D9" s="538" t="s">
        <v>34</v>
      </c>
      <c r="E9" s="521" t="s">
        <v>139</v>
      </c>
      <c r="F9" s="521" t="s">
        <v>136</v>
      </c>
      <c r="G9" s="521" t="s">
        <v>1</v>
      </c>
      <c r="H9" s="473" t="s">
        <v>426</v>
      </c>
      <c r="I9" s="521" t="s">
        <v>3</v>
      </c>
      <c r="J9" s="521" t="s">
        <v>4</v>
      </c>
      <c r="K9" s="521" t="s">
        <v>5</v>
      </c>
      <c r="L9" s="521" t="s">
        <v>6</v>
      </c>
      <c r="M9" s="521" t="s">
        <v>7</v>
      </c>
      <c r="N9" s="521" t="s">
        <v>8</v>
      </c>
      <c r="O9" s="521"/>
      <c r="P9" s="521"/>
      <c r="Q9" s="521"/>
      <c r="R9" s="521" t="s">
        <v>9</v>
      </c>
      <c r="S9" s="538" t="s">
        <v>505</v>
      </c>
      <c r="T9" s="538" t="s">
        <v>134</v>
      </c>
      <c r="U9" s="521" t="s">
        <v>107</v>
      </c>
      <c r="V9" s="521" t="s">
        <v>12</v>
      </c>
      <c r="W9" s="521"/>
      <c r="X9" s="521" t="s">
        <v>14</v>
      </c>
      <c r="Y9" s="473" t="s">
        <v>499</v>
      </c>
    </row>
    <row r="10" spans="3:30" ht="31.5" customHeight="1">
      <c r="C10" s="554"/>
      <c r="D10" s="536"/>
      <c r="E10" s="521"/>
      <c r="F10" s="521"/>
      <c r="G10" s="521"/>
      <c r="H10" s="521"/>
      <c r="I10" s="521"/>
      <c r="J10" s="521"/>
      <c r="K10" s="521"/>
      <c r="L10" s="521"/>
      <c r="M10" s="521"/>
      <c r="N10" s="521" t="s">
        <v>15</v>
      </c>
      <c r="O10" s="521"/>
      <c r="P10" s="521"/>
      <c r="Q10" s="521" t="s">
        <v>16</v>
      </c>
      <c r="R10" s="521"/>
      <c r="S10" s="536"/>
      <c r="T10" s="536"/>
      <c r="U10" s="521"/>
      <c r="V10" s="521"/>
      <c r="W10" s="521"/>
      <c r="X10" s="521"/>
      <c r="Y10" s="521"/>
    </row>
    <row r="11" spans="3:30" ht="78.75" customHeight="1">
      <c r="C11" s="555"/>
      <c r="D11" s="537"/>
      <c r="E11" s="521"/>
      <c r="F11" s="521"/>
      <c r="G11" s="521"/>
      <c r="H11" s="521"/>
      <c r="I11" s="521"/>
      <c r="J11" s="521"/>
      <c r="K11" s="521"/>
      <c r="L11" s="521"/>
      <c r="M11" s="521"/>
      <c r="N11" s="40" t="s">
        <v>17</v>
      </c>
      <c r="O11" s="40" t="s">
        <v>18</v>
      </c>
      <c r="P11" s="40" t="s">
        <v>19</v>
      </c>
      <c r="Q11" s="521"/>
      <c r="R11" s="521"/>
      <c r="S11" s="537"/>
      <c r="T11" s="537"/>
      <c r="U11" s="521"/>
      <c r="V11" s="40" t="s">
        <v>20</v>
      </c>
      <c r="W11" s="40" t="s">
        <v>21</v>
      </c>
      <c r="X11" s="521"/>
      <c r="Y11" s="521"/>
    </row>
    <row r="12" spans="3:30" ht="18.75" customHeight="1">
      <c r="C12" s="9" t="s">
        <v>102</v>
      </c>
      <c r="D12" s="72" t="s">
        <v>71</v>
      </c>
      <c r="E12" s="91"/>
      <c r="F12" s="30"/>
      <c r="G12" s="30"/>
      <c r="H12" s="30"/>
      <c r="I12" s="30"/>
      <c r="J12" s="30"/>
      <c r="K12" s="30"/>
      <c r="L12" s="30"/>
      <c r="M12" s="30"/>
      <c r="N12" s="30"/>
      <c r="O12" s="30"/>
      <c r="P12" s="30"/>
      <c r="Q12" s="30"/>
      <c r="R12" s="30"/>
      <c r="S12" s="30"/>
      <c r="T12" s="30"/>
      <c r="U12" s="30"/>
      <c r="V12" s="30"/>
      <c r="W12" s="30"/>
      <c r="X12" s="30"/>
      <c r="Y12" s="31"/>
    </row>
    <row r="13" spans="3:30" s="11" customFormat="1" ht="20.100000000000001" hidden="1" customHeight="1">
      <c r="C13" s="195"/>
      <c r="D13" s="77"/>
      <c r="E13" s="77"/>
      <c r="F13" s="77"/>
      <c r="G13" s="10"/>
      <c r="H13" s="275">
        <v>1</v>
      </c>
      <c r="I13" s="16"/>
      <c r="J13" s="47"/>
      <c r="K13" s="47"/>
      <c r="L13" s="46" t="str">
        <f>+IFERROR(IF(COUNT(I13:K13),ROUND(SUM(I13:K13),0),""),"")</f>
        <v/>
      </c>
      <c r="M13" s="130"/>
      <c r="N13" s="277" t="str">
        <f>IF(I13="","",I13)</f>
        <v/>
      </c>
      <c r="O13" s="207"/>
      <c r="P13" s="51" t="str">
        <f>+IFERROR(IF(COUNT(N13:O13),ROUND(SUM(N13,O13),2),""),"")</f>
        <v/>
      </c>
      <c r="Q13" s="17" t="str">
        <f>+IFERROR(IF(COUNT(P13),ROUND(P13/('Shareholding Pattern'!$P$58)*100,2),""),"")</f>
        <v/>
      </c>
      <c r="R13" s="47"/>
      <c r="S13" s="47"/>
      <c r="T13" s="48" t="str">
        <f>+IFERROR(IF(COUNT(R13:S13),ROUND(SUM(R13:S13),2),""),"")</f>
        <v/>
      </c>
      <c r="U13" s="130"/>
      <c r="V13" s="47"/>
      <c r="W13" s="17" t="str">
        <f>+IFERROR(IF(V13="","",(+IF(V13=0,0,IF(COUNT(V13,L13),ROUND(SUM(V13)/SUM(L13)*100,2),"")))),"")</f>
        <v/>
      </c>
      <c r="X13" s="16"/>
      <c r="Y13" s="282"/>
      <c r="AC13" s="11">
        <f>IF(SUM(H13:X13)&gt;0,1,0)</f>
        <v>1</v>
      </c>
      <c r="AD13" s="11">
        <f>SUM(AC15:AC65535)</f>
        <v>0</v>
      </c>
    </row>
    <row r="14" spans="3:30" ht="24.95" customHeight="1">
      <c r="C14" s="45"/>
      <c r="D14" s="55"/>
      <c r="E14" s="265" t="s">
        <v>494</v>
      </c>
      <c r="G14" s="43"/>
      <c r="H14" s="43"/>
      <c r="I14" s="43"/>
      <c r="J14" s="43"/>
      <c r="K14" s="43"/>
      <c r="L14" s="43"/>
      <c r="M14" s="43"/>
      <c r="N14" s="43"/>
      <c r="O14" s="43"/>
      <c r="P14" s="43"/>
      <c r="Q14" s="43"/>
      <c r="R14" s="43"/>
      <c r="S14" s="43"/>
      <c r="T14" s="43"/>
      <c r="U14" s="43"/>
      <c r="V14" s="43"/>
      <c r="W14" s="43"/>
      <c r="X14" s="43"/>
      <c r="Y14" s="44"/>
    </row>
    <row r="15" spans="3:30" ht="24.95" hidden="1" customHeight="1">
      <c r="C15" s="204"/>
      <c r="D15" s="205"/>
      <c r="E15" s="18"/>
      <c r="F15" s="18"/>
      <c r="G15" s="18"/>
      <c r="H15" s="18"/>
      <c r="I15" s="18"/>
      <c r="J15" s="202"/>
      <c r="K15" s="202"/>
      <c r="L15" s="18"/>
      <c r="M15" s="199" t="str">
        <f>+IFERROR(IF(COUNT(L15),ROUND(L15/('Shareholding Pattern'!$L$57)*100,2),""),"")</f>
        <v/>
      </c>
      <c r="N15" s="202"/>
      <c r="O15" s="202"/>
      <c r="P15" s="18"/>
      <c r="Q15" s="199" t="str">
        <f>+IFERROR(IF(COUNT(P15),ROUND(P15/('Shareholding Pattern'!$P$58)*100,2),""),"")</f>
        <v/>
      </c>
      <c r="R15" s="18"/>
      <c r="S15" s="18"/>
      <c r="T15" s="18"/>
      <c r="U15" s="199" t="str">
        <f>+IFERROR(IF(COUNT(L15,T15),ROUND(SUM(T15,L15)/SUM('Shareholding Pattern'!$L$57,'Shareholding Pattern'!$T$57)*100,2),""),"")</f>
        <v/>
      </c>
      <c r="V15" s="202"/>
      <c r="W15" s="18"/>
      <c r="X15" s="203"/>
    </row>
    <row r="16" spans="3:30" ht="20.100000000000001" customHeight="1">
      <c r="C16" s="128"/>
      <c r="D16" s="90"/>
      <c r="E16" s="36"/>
      <c r="F16" s="60" t="s">
        <v>450</v>
      </c>
      <c r="G16" s="60" t="s">
        <v>19</v>
      </c>
      <c r="H16" s="53" t="str">
        <f>+IFERROR(IF(COUNT(H14:H15),ROUND(SUM(H14:H15),0),""),"")</f>
        <v/>
      </c>
      <c r="I16" s="53" t="str">
        <f>+IFERROR(IF(COUNT(I13:I15),ROUND(SUM(I13:I15),0),""),"")</f>
        <v/>
      </c>
      <c r="J16" s="53" t="str">
        <f>+IFERROR(IF(COUNT(J13:J15),ROUND(SUM(J13:J15),0),""),"")</f>
        <v/>
      </c>
      <c r="K16" s="53" t="str">
        <f>+IFERROR(IF(COUNT(K13:K15),ROUND(SUM(K13:K15),0),""),"")</f>
        <v/>
      </c>
      <c r="L16" s="53" t="str">
        <f>+IFERROR(IF(COUNT(L13:L15),ROUND(SUM(L13:L15),0),""),"")</f>
        <v/>
      </c>
      <c r="M16" s="130"/>
      <c r="N16" s="35" t="str">
        <f>+IFERROR(IF(COUNT(N13:N15),ROUND(SUM(N13:N15),0),""),"")</f>
        <v/>
      </c>
      <c r="O16" s="35" t="str">
        <f>+IFERROR(IF(COUNT(O13:O15),ROUND(SUM(O13:O15),0),""),"")</f>
        <v/>
      </c>
      <c r="P16" s="35" t="str">
        <f>+IFERROR(IF(COUNT(P13:P15),ROUND(SUM(P13:P15),0),""),"")</f>
        <v/>
      </c>
      <c r="Q16" s="17" t="str">
        <f>+IFERROR(IF(COUNT(P16),ROUND(P16/('Shareholding Pattern'!$P$58)*100,2),""),"")</f>
        <v/>
      </c>
      <c r="R16" s="53" t="str">
        <f>+IFERROR(IF(COUNT(R13:R15),ROUND(SUM(R13:R15),0),""),"")</f>
        <v/>
      </c>
      <c r="S16" s="53" t="str">
        <f>+IFERROR(IF(COUNT(S13:S15),ROUND(SUM(S13:S15),0),""),"")</f>
        <v/>
      </c>
      <c r="T16" s="53" t="str">
        <f>+IFERROR(IF(COUNT(T13:T15),ROUND(SUM(T13:T15),0),""),"")</f>
        <v/>
      </c>
      <c r="U16" s="130"/>
      <c r="V16" s="53" t="str">
        <f>+IFERROR(IF(COUNT(V13:V15),ROUND(SUM(V13:V15),0),""),"")</f>
        <v/>
      </c>
      <c r="W16" s="285" t="str">
        <f>+IFERROR(IF(V16="","",(+IF(V16=0,0,IF(COUNT(V16,L16),ROUND(SUM(V16)/SUM(L16)*100,2),"")))),"")</f>
        <v/>
      </c>
      <c r="X16" s="53" t="str">
        <f>+IFERROR(IF(COUNT(X13:X15),ROUND(SUM(X13:X15),0),""),"")</f>
        <v/>
      </c>
    </row>
  </sheetData>
  <sheetProtection password="F884" sheet="1" objects="1" scenarios="1"/>
  <mergeCells count="21">
    <mergeCell ref="Y9:Y11"/>
    <mergeCell ref="H9:H11"/>
    <mergeCell ref="I9:I11"/>
    <mergeCell ref="C9:C11"/>
    <mergeCell ref="D9:D11"/>
    <mergeCell ref="E9:E11"/>
    <mergeCell ref="F9:F11"/>
    <mergeCell ref="G9:G11"/>
    <mergeCell ref="X9:X11"/>
    <mergeCell ref="N10:P10"/>
    <mergeCell ref="Q10:Q11"/>
    <mergeCell ref="S9:S11"/>
    <mergeCell ref="J9:J11"/>
    <mergeCell ref="K9:K11"/>
    <mergeCell ref="L9:L11"/>
    <mergeCell ref="R9:R11"/>
    <mergeCell ref="V9:W10"/>
    <mergeCell ref="T9:T11"/>
    <mergeCell ref="M9:M11"/>
    <mergeCell ref="N9:Q9"/>
    <mergeCell ref="U9:U11"/>
  </mergeCells>
  <dataValidations count="6">
    <dataValidation type="whole" operator="lessThanOrEqual" allowBlank="1" showInputMessage="1" showErrorMessage="1" sqref="X13:Y13">
      <formula1>L13</formula1>
    </dataValidation>
    <dataValidation type="whole" operator="lessThanOrEqual" allowBlank="1" showInputMessage="1" showErrorMessage="1" sqref="V13">
      <formula1>I13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R13:S13 I13:K13 N13:O13">
      <formula1>0</formula1>
    </dataValidation>
    <dataValidation type="whole" operator="greaterThan" allowBlank="1" showInputMessage="1" showErrorMessage="1" sqref="H13">
      <formula1>0</formula1>
    </dataValidation>
    <dataValidation type="list" allowBlank="1" showInputMessage="1" showErrorMessage="1" sqref="D13">
      <formula1>$AC$2:$AC$7</formula1>
    </dataValidation>
  </dataValidations>
  <hyperlinks>
    <hyperlink ref="G16" location="'Shareholding Pattern'!F54" display="Total"/>
    <hyperlink ref="F16" location="'Shareholding Pattern'!F54" display="Total"/>
  </hyperlinks>
  <pageMargins left="0.7" right="0.7" top="0.75" bottom="0.75" header="0.3" footer="0.3"/>
  <pageSetup orientation="portrait" r:id="rId1"/>
  <drawing r:id="rId2"/>
</worksheet>
</file>

<file path=xl/worksheets/sheet34.xml><?xml version="1.0" encoding="utf-8"?>
<worksheet xmlns="http://schemas.openxmlformats.org/spreadsheetml/2006/main" xmlns:r="http://schemas.openxmlformats.org/officeDocument/2006/relationships">
  <sheetPr codeName="Sheet28">
    <tabColor theme="1"/>
  </sheetPr>
  <dimension ref="A1:XFC16"/>
  <sheetViews>
    <sheetView showGridLines="0" topLeftCell="C7" zoomScale="70" zoomScaleNormal="70" workbookViewId="0">
      <selection activeCell="O22" sqref="O22"/>
    </sheetView>
  </sheetViews>
  <sheetFormatPr defaultColWidth="0" defaultRowHeight="15"/>
  <cols>
    <col min="1" max="2" width="2.7109375" hidden="1" customWidth="1"/>
    <col min="3" max="3" width="2.7109375" customWidth="1"/>
    <col min="4" max="4" width="7.140625" customWidth="1"/>
    <col min="5" max="5" width="35.7109375" customWidth="1"/>
    <col min="6" max="7" width="13.7109375" customWidth="1"/>
    <col min="8" max="8" width="14.5703125" customWidth="1"/>
    <col min="9" max="10" width="14.5703125" hidden="1" customWidth="1"/>
    <col min="11" max="11" width="15.5703125" customWidth="1"/>
    <col min="12" max="12" width="13.5703125" customWidth="1"/>
    <col min="13" max="13" width="14.7109375" customWidth="1"/>
    <col min="14" max="14" width="14.7109375" hidden="1" customWidth="1"/>
    <col min="15" max="15" width="16.42578125" customWidth="1"/>
    <col min="16" max="16" width="11.85546875" customWidth="1"/>
    <col min="17" max="17" width="14.5703125" hidden="1" customWidth="1"/>
    <col min="18" max="18" width="15.28515625" hidden="1" customWidth="1"/>
    <col min="19" max="19" width="14.5703125" hidden="1" customWidth="1"/>
    <col min="20" max="20" width="19.140625" customWidth="1"/>
    <col min="21" max="21" width="14.7109375" hidden="1" customWidth="1"/>
    <col min="22" max="22" width="8.140625" hidden="1" customWidth="1"/>
    <col min="23" max="23" width="15.42578125" customWidth="1"/>
    <col min="24" max="24" width="19.42578125" customWidth="1"/>
    <col min="25" max="25" width="2.7109375" customWidth="1"/>
    <col min="26" max="26" width="5.140625" hidden="1" customWidth="1"/>
    <col min="27" max="16383" width="7.5703125" hidden="1"/>
    <col min="16384" max="16384" width="3.85546875" hidden="1"/>
  </cols>
  <sheetData>
    <row r="1" spans="4:30" hidden="1">
      <c r="I1">
        <v>0</v>
      </c>
    </row>
    <row r="2" spans="4:30" hidden="1">
      <c r="E2" t="s">
        <v>249</v>
      </c>
      <c r="F2" t="s">
        <v>420</v>
      </c>
      <c r="G2" t="s">
        <v>144</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4:30" hidden="1"/>
    <row r="4" spans="4:30" hidden="1"/>
    <row r="5" spans="4:30" hidden="1"/>
    <row r="6" spans="4:30" hidden="1"/>
    <row r="9" spans="4:30" ht="29.45" customHeight="1">
      <c r="D9" s="538" t="s">
        <v>137</v>
      </c>
      <c r="E9" s="521" t="s">
        <v>136</v>
      </c>
      <c r="F9" s="521" t="s">
        <v>1</v>
      </c>
      <c r="G9" s="473" t="s">
        <v>426</v>
      </c>
      <c r="H9" s="521" t="s">
        <v>3</v>
      </c>
      <c r="I9" s="521" t="s">
        <v>4</v>
      </c>
      <c r="J9" s="521" t="s">
        <v>5</v>
      </c>
      <c r="K9" s="521" t="s">
        <v>6</v>
      </c>
      <c r="L9" s="521" t="s">
        <v>7</v>
      </c>
      <c r="M9" s="521" t="s">
        <v>8</v>
      </c>
      <c r="N9" s="521"/>
      <c r="O9" s="521"/>
      <c r="P9" s="521"/>
      <c r="Q9" s="521" t="s">
        <v>9</v>
      </c>
      <c r="R9" s="538" t="s">
        <v>505</v>
      </c>
      <c r="S9" s="538" t="s">
        <v>134</v>
      </c>
      <c r="T9" s="521" t="s">
        <v>107</v>
      </c>
      <c r="U9" s="521" t="s">
        <v>12</v>
      </c>
      <c r="V9" s="521"/>
      <c r="W9" s="521" t="s">
        <v>14</v>
      </c>
      <c r="X9" s="473" t="s">
        <v>499</v>
      </c>
    </row>
    <row r="10" spans="4:30" ht="31.5" customHeight="1">
      <c r="D10" s="536"/>
      <c r="E10" s="521"/>
      <c r="F10" s="521"/>
      <c r="G10" s="521"/>
      <c r="H10" s="521"/>
      <c r="I10" s="521"/>
      <c r="J10" s="521"/>
      <c r="K10" s="521"/>
      <c r="L10" s="521"/>
      <c r="M10" s="521" t="s">
        <v>15</v>
      </c>
      <c r="N10" s="521"/>
      <c r="O10" s="521"/>
      <c r="P10" s="521" t="s">
        <v>16</v>
      </c>
      <c r="Q10" s="521"/>
      <c r="R10" s="536"/>
      <c r="S10" s="536"/>
      <c r="T10" s="521"/>
      <c r="U10" s="521"/>
      <c r="V10" s="521"/>
      <c r="W10" s="521"/>
      <c r="X10" s="521"/>
    </row>
    <row r="11" spans="4:30" ht="75">
      <c r="D11" s="537"/>
      <c r="E11" s="521"/>
      <c r="F11" s="521"/>
      <c r="G11" s="521"/>
      <c r="H11" s="521"/>
      <c r="I11" s="521"/>
      <c r="J11" s="521"/>
      <c r="K11" s="521"/>
      <c r="L11" s="521"/>
      <c r="M11" s="58" t="s">
        <v>17</v>
      </c>
      <c r="N11" s="58" t="s">
        <v>18</v>
      </c>
      <c r="O11" s="58" t="s">
        <v>19</v>
      </c>
      <c r="P11" s="521"/>
      <c r="Q11" s="521"/>
      <c r="R11" s="537"/>
      <c r="S11" s="537"/>
      <c r="T11" s="521"/>
      <c r="U11" s="58" t="s">
        <v>20</v>
      </c>
      <c r="V11" s="58" t="s">
        <v>21</v>
      </c>
      <c r="W11" s="521"/>
      <c r="X11" s="521"/>
    </row>
    <row r="12" spans="4:30" ht="17.25" customHeight="1">
      <c r="D12" s="87" t="s">
        <v>392</v>
      </c>
      <c r="E12" s="73" t="s">
        <v>72</v>
      </c>
      <c r="F12" s="73"/>
      <c r="G12" s="30"/>
      <c r="H12" s="30"/>
      <c r="I12" s="30"/>
      <c r="J12" s="30"/>
      <c r="K12" s="30"/>
      <c r="L12" s="30"/>
      <c r="M12" s="30"/>
      <c r="N12" s="30"/>
      <c r="O12" s="30"/>
      <c r="P12" s="30"/>
      <c r="Q12" s="30"/>
      <c r="R12" s="30"/>
      <c r="S12" s="30"/>
      <c r="T12" s="30"/>
      <c r="U12" s="30"/>
      <c r="V12" s="30"/>
      <c r="W12" s="30"/>
      <c r="X12" s="31"/>
    </row>
    <row r="13" spans="4:30" s="11" customFormat="1" ht="20.100000000000001" hidden="1" customHeight="1">
      <c r="D13" s="195"/>
      <c r="E13" s="77"/>
      <c r="F13" s="10"/>
      <c r="G13" s="276">
        <v>1</v>
      </c>
      <c r="H13" s="16"/>
      <c r="I13" s="47"/>
      <c r="J13" s="47"/>
      <c r="K13" s="48" t="str">
        <f>+IFERROR(IF(COUNT(H13:J13),ROUND(SUM(H13:J13),0),""),"")</f>
        <v/>
      </c>
      <c r="L13" s="17" t="str">
        <f>+IFERROR(IF(COUNT(K13),ROUND(K13/'Shareholding Pattern'!$L$57*100,2),""),"")</f>
        <v/>
      </c>
      <c r="M13" s="277" t="str">
        <f>IF(H13="","",H13)</f>
        <v/>
      </c>
      <c r="N13" s="207"/>
      <c r="O13" s="51" t="str">
        <f>+IFERROR(IF(COUNT(M13:N13),ROUND(SUM(M13,N13),0),""),"")</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236" t="str">
        <f>+IFERROR(IF(U13="","",(IF(COUNT(U13,K13),ROUND(SUM(U13)/SUM(K13)*100,2),""))),"")</f>
        <v/>
      </c>
      <c r="W13" s="16"/>
      <c r="X13" s="282"/>
      <c r="AC13" s="11">
        <f>IF(SUM(H13:W13)&gt;0,1,0)</f>
        <v>0</v>
      </c>
      <c r="AD13" s="11">
        <f>SUM(AC15:AC65535)</f>
        <v>0</v>
      </c>
    </row>
    <row r="14" spans="4:30" ht="24.95" customHeight="1">
      <c r="D14" s="42"/>
      <c r="E14" s="43"/>
      <c r="F14" s="265" t="s">
        <v>495</v>
      </c>
      <c r="G14" s="43"/>
      <c r="H14" s="43"/>
      <c r="I14" s="43"/>
      <c r="J14" s="43"/>
      <c r="K14" s="43"/>
      <c r="L14" s="43"/>
      <c r="M14" s="43"/>
      <c r="N14" s="43"/>
      <c r="O14" s="43"/>
      <c r="P14" s="43"/>
      <c r="Q14" s="43"/>
      <c r="R14" s="43"/>
      <c r="S14" s="43"/>
      <c r="T14" s="43"/>
      <c r="U14" s="43"/>
      <c r="V14" s="43"/>
      <c r="W14" s="43"/>
      <c r="X14" s="44"/>
    </row>
    <row r="15" spans="4:30" hidden="1">
      <c r="D15" s="204"/>
      <c r="E15" s="206"/>
      <c r="F15" s="206"/>
      <c r="G15" s="206"/>
      <c r="H15" s="205"/>
      <c r="I15" s="18"/>
      <c r="J15" s="202"/>
      <c r="K15" s="202"/>
      <c r="L15" s="18"/>
      <c r="M15" s="18"/>
      <c r="N15" s="202"/>
      <c r="O15" s="202"/>
      <c r="P15" s="18"/>
      <c r="Q15" s="18"/>
      <c r="R15" s="18"/>
      <c r="S15" s="18"/>
      <c r="T15" s="18"/>
      <c r="U15" s="18"/>
      <c r="V15" s="202"/>
      <c r="W15" s="203"/>
    </row>
    <row r="16" spans="4:30" ht="20.100000000000001" customHeight="1">
      <c r="D16" s="172"/>
      <c r="E16" s="83" t="s">
        <v>450</v>
      </c>
      <c r="F16" s="83" t="s">
        <v>19</v>
      </c>
      <c r="G16" s="53" t="str">
        <f>+IFERROR(IF(COUNT(G14:G15),ROUND(SUM(G14:G15),0),""),"")</f>
        <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Pattern'!$L$57*100,2),""),"")</f>
        <v/>
      </c>
      <c r="M16" s="35" t="str">
        <f>+IFERROR(IF(COUNT(M13:M15),ROUND(SUM(M13:M15),0),""),"")</f>
        <v/>
      </c>
      <c r="N16" s="35" t="str">
        <f>+IFERROR(IF(COUNT(N13:N15),ROUND(SUM(N13:N15),0),""),"")</f>
        <v/>
      </c>
      <c r="O16" s="35" t="str">
        <f>+IFERROR(IF(COUNT(O13:O15),ROUND(SUM(O13:O15),0),""),"")</f>
        <v/>
      </c>
      <c r="P16" s="17" t="str">
        <f>+IFERROR(IF(COUNT(O16),ROUND(O16/('Shareholding Pattern'!$P$58)*100,2),""),"")</f>
        <v/>
      </c>
      <c r="Q16" s="53" t="str">
        <f>+IFERROR(IF(COUNT(Q13:Q15),ROUND(SUM(Q13:Q15),0),""),"")</f>
        <v/>
      </c>
      <c r="R16" s="53" t="str">
        <f>+IFERROR(IF(COUNT(R13:R15),ROUND(SUM(R13:R15),0),""),"")</f>
        <v/>
      </c>
      <c r="S16" s="53" t="str">
        <f>+IFERROR(IF(COUNT(S13:S15),ROUND(SUM(S13:S15),0),""),"")</f>
        <v/>
      </c>
      <c r="T16" s="17" t="str">
        <f>+IFERROR(IF(COUNT(K16,S16),ROUND(SUM(S16,K16)/SUM('Shareholding Pattern'!$L$57,'Shareholding Pattern'!$T$57)*100,2),""),"")</f>
        <v/>
      </c>
      <c r="U16" s="53" t="str">
        <f>+IFERROR(IF(COUNT(U13:U15),ROUND(SUM(U13:U15),0),""),"")</f>
        <v/>
      </c>
      <c r="V16" s="98" t="str">
        <f>+IFERROR(IF(COUNT(U16,K16),ROUND(SUM(U16)/SUM(K16)*100,2),""),0)</f>
        <v/>
      </c>
      <c r="W16" s="53" t="str">
        <f>+IFERROR(IF(COUNT(W13:W15),ROUND(SUM(W13:W15),0),""),"")</f>
        <v/>
      </c>
    </row>
  </sheetData>
  <sheetProtection password="F884" sheet="1" objects="1" scenarios="1"/>
  <mergeCells count="19">
    <mergeCell ref="P10:P11"/>
    <mergeCell ref="F9:F11"/>
    <mergeCell ref="G9:G11"/>
    <mergeCell ref="H9:H11"/>
    <mergeCell ref="D9:D11"/>
    <mergeCell ref="I9:I11"/>
    <mergeCell ref="U9:V10"/>
    <mergeCell ref="X9:X11"/>
    <mergeCell ref="W9:W11"/>
    <mergeCell ref="T9:T11"/>
    <mergeCell ref="E9:E11"/>
    <mergeCell ref="S9:S11"/>
    <mergeCell ref="J9:J11"/>
    <mergeCell ref="K9:K11"/>
    <mergeCell ref="L9:L11"/>
    <mergeCell ref="R9:R11"/>
    <mergeCell ref="M9:P9"/>
    <mergeCell ref="Q9:Q11"/>
    <mergeCell ref="M10:O10"/>
  </mergeCells>
  <dataValidations count="5">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textLength" operator="equal" allowBlank="1" showInputMessage="1" showErrorMessage="1" prompt="[A-Z][A-Z][A-Z][A-Z][A-Z][0-9][0-9][0-9][0-9][A-Z]_x000a__x000a_In absence of PAN write : ZZZZZ9999Z" sqref="F13">
      <formula1>10</formula1>
    </dataValidation>
    <dataValidation type="whole" operator="greaterThanOrEqual" allowBlank="1" showInputMessage="1" showErrorMessage="1" sqref="Q13:R13 H13:J13 M13:N13">
      <formula1>0</formula1>
    </dataValidation>
    <dataValidation type="whole" operator="greaterThan" allowBlank="1" showInputMessage="1" showErrorMessage="1" sqref="G13">
      <formula1>0</formula1>
    </dataValidation>
  </dataValidations>
  <hyperlinks>
    <hyperlink ref="F16" location="'Shareholding Pattern'!F55" display="Total"/>
    <hyperlink ref="E16" location="'Shareholding Pattern'!F55" display="Total"/>
  </hyperlinks>
  <pageMargins left="0.7" right="0.7" top="0.75" bottom="0.75" header="0.3" footer="0.3"/>
  <pageSetup orientation="portrait" r:id="rId1"/>
  <drawing r:id="rId2"/>
</worksheet>
</file>

<file path=xl/worksheets/sheet35.xml><?xml version="1.0" encoding="utf-8"?>
<worksheet xmlns="http://schemas.openxmlformats.org/spreadsheetml/2006/main" xmlns:r="http://schemas.openxmlformats.org/officeDocument/2006/relationships">
  <sheetPr codeName="Sheet31">
    <tabColor theme="9"/>
  </sheetPr>
  <dimension ref="A1:J14"/>
  <sheetViews>
    <sheetView showGridLines="0" topLeftCell="D6" workbookViewId="0">
      <selection activeCell="I14" sqref="I14"/>
    </sheetView>
  </sheetViews>
  <sheetFormatPr defaultColWidth="0" defaultRowHeight="15"/>
  <cols>
    <col min="1" max="3" width="2.7109375" hidden="1" customWidth="1"/>
    <col min="4" max="4" width="2.7109375" customWidth="1"/>
    <col min="5" max="5" width="7.140625" customWidth="1"/>
    <col min="6" max="6" width="21" customWidth="1"/>
    <col min="7" max="7" width="22.42578125" customWidth="1"/>
    <col min="8" max="8" width="14.5703125" customWidth="1"/>
    <col min="9" max="9" width="30.140625" style="84" customWidth="1"/>
    <col min="10" max="10" width="2.7109375" customWidth="1"/>
    <col min="11" max="16384" width="9.140625" hidden="1"/>
  </cols>
  <sheetData>
    <row r="1" spans="5:10" hidden="1">
      <c r="I1" s="84">
        <v>0</v>
      </c>
    </row>
    <row r="2" spans="5:10" hidden="1"/>
    <row r="3" spans="5:10" hidden="1"/>
    <row r="4" spans="5:10" hidden="1"/>
    <row r="5" spans="5:10" ht="19.5" hidden="1" customHeight="1"/>
    <row r="6" spans="5:10" ht="12.75" customHeight="1">
      <c r="J6" s="101"/>
    </row>
    <row r="7" spans="5:10">
      <c r="J7" s="101"/>
    </row>
    <row r="8" spans="5:10" ht="11.25" customHeight="1">
      <c r="J8" s="101"/>
    </row>
    <row r="9" spans="5:10" ht="30" customHeight="1">
      <c r="E9" s="474" t="s">
        <v>433</v>
      </c>
      <c r="F9" s="475"/>
      <c r="G9" s="475"/>
      <c r="H9" s="475"/>
      <c r="I9" s="476"/>
      <c r="J9" s="101"/>
    </row>
    <row r="10" spans="5:10">
      <c r="E10" s="538" t="s">
        <v>137</v>
      </c>
      <c r="F10" s="480" t="s">
        <v>144</v>
      </c>
      <c r="G10" s="480" t="s">
        <v>145</v>
      </c>
      <c r="H10" s="480" t="s">
        <v>383</v>
      </c>
      <c r="I10" s="480" t="s">
        <v>384</v>
      </c>
      <c r="J10" s="101"/>
    </row>
    <row r="11" spans="5:10">
      <c r="E11" s="556"/>
      <c r="F11" s="481"/>
      <c r="G11" s="536"/>
      <c r="H11" s="481"/>
      <c r="I11" s="481"/>
      <c r="J11" s="101"/>
    </row>
    <row r="12" spans="5:10">
      <c r="E12" s="557"/>
      <c r="F12" s="482"/>
      <c r="G12" s="537"/>
      <c r="H12" s="482"/>
      <c r="I12" s="482"/>
      <c r="J12" s="101"/>
    </row>
    <row r="13" spans="5:10" ht="28.5" hidden="1" customHeight="1">
      <c r="E13" s="195"/>
      <c r="F13" s="16"/>
      <c r="G13" s="75"/>
      <c r="H13" s="148"/>
      <c r="I13" s="85"/>
      <c r="J13" s="101"/>
    </row>
    <row r="14" spans="5:10" ht="25.5" customHeight="1">
      <c r="E14" s="45"/>
      <c r="F14" s="55"/>
      <c r="G14" s="55"/>
      <c r="H14" s="55"/>
      <c r="I14" s="262" t="s">
        <v>448</v>
      </c>
      <c r="J14" s="101"/>
    </row>
  </sheetData>
  <sheetProtection sheet="1" objects="1" scenarios="1"/>
  <mergeCells count="6">
    <mergeCell ref="E9:I9"/>
    <mergeCell ref="E10:E12"/>
    <mergeCell ref="F10:F12"/>
    <mergeCell ref="G10:G12"/>
    <mergeCell ref="H10:H12"/>
    <mergeCell ref="I10:I12"/>
  </mergeCells>
  <dataValidations count="2">
    <dataValidation type="decimal" operator="greaterThanOrEqual" allowBlank="1" showInputMessage="1" showErrorMessage="1" sqref="G13:H13">
      <formula1>0</formula1>
    </dataValidation>
    <dataValidation type="whole" operator="greaterThanOrEqual" allowBlank="1" showInputMessage="1" showErrorMessage="1" sqref="F13">
      <formula1>0</formula1>
    </dataValidation>
  </dataValidations>
  <hyperlinks>
    <hyperlink ref="I14" location="'Shareholding Pattern'!F27" display="Back"/>
  </hyperlinks>
  <pageMargins left="0.7" right="0.7" top="0.75" bottom="0.75" header="0.3" footer="0.3"/>
  <pageSetup orientation="portrait" r:id="rId1"/>
  <drawing r:id="rId2"/>
</worksheet>
</file>

<file path=xl/worksheets/sheet36.xml><?xml version="1.0" encoding="utf-8"?>
<worksheet xmlns="http://schemas.openxmlformats.org/spreadsheetml/2006/main" xmlns:r="http://schemas.openxmlformats.org/officeDocument/2006/relationships">
  <sheetPr codeName="Sheet36"/>
  <dimension ref="B1:E29"/>
  <sheetViews>
    <sheetView workbookViewId="0">
      <selection activeCell="B2" sqref="B1:B1048576"/>
    </sheetView>
  </sheetViews>
  <sheetFormatPr defaultRowHeight="15"/>
  <sheetData>
    <row r="1" spans="2:5">
      <c r="E1">
        <v>11</v>
      </c>
    </row>
    <row r="3" spans="2:5">
      <c r="B3" s="376"/>
    </row>
    <row r="4" spans="2:5">
      <c r="B4" s="376"/>
    </row>
    <row r="5" spans="2:5">
      <c r="B5" s="376" t="s">
        <v>647</v>
      </c>
    </row>
    <row r="6" spans="2:5">
      <c r="B6" s="376" t="s">
        <v>647</v>
      </c>
    </row>
    <row r="7" spans="2:5">
      <c r="B7" s="376" t="s">
        <v>647</v>
      </c>
    </row>
    <row r="8" spans="2:5">
      <c r="B8" s="376" t="s">
        <v>648</v>
      </c>
    </row>
    <row r="9" spans="2:5">
      <c r="B9" s="376" t="s">
        <v>649</v>
      </c>
    </row>
    <row r="10" spans="2:5">
      <c r="B10" s="376" t="s">
        <v>650</v>
      </c>
    </row>
    <row r="11" spans="2:5">
      <c r="B11" s="376" t="s">
        <v>650</v>
      </c>
    </row>
    <row r="12" spans="2:5">
      <c r="B12" s="376"/>
    </row>
    <row r="13" spans="2:5">
      <c r="B13" s="376"/>
    </row>
    <row r="14" spans="2:5">
      <c r="B14" s="376"/>
    </row>
    <row r="15" spans="2:5">
      <c r="B15" s="376"/>
    </row>
    <row r="16" spans="2:5">
      <c r="B16" s="376"/>
    </row>
    <row r="17" spans="2:2">
      <c r="B17" s="376"/>
    </row>
    <row r="18" spans="2:2">
      <c r="B18" s="376"/>
    </row>
    <row r="19" spans="2:2">
      <c r="B19" s="376"/>
    </row>
    <row r="20" spans="2:2">
      <c r="B20" s="376"/>
    </row>
    <row r="21" spans="2:2">
      <c r="B21" s="376"/>
    </row>
    <row r="22" spans="2:2">
      <c r="B22" s="376"/>
    </row>
    <row r="23" spans="2:2">
      <c r="B23" s="376"/>
    </row>
    <row r="24" spans="2:2">
      <c r="B24" s="376"/>
    </row>
    <row r="25" spans="2:2">
      <c r="B25" s="376"/>
    </row>
    <row r="26" spans="2:2">
      <c r="B26" s="376"/>
    </row>
    <row r="27" spans="2:2">
      <c r="B27" s="376"/>
    </row>
    <row r="28" spans="2:2">
      <c r="B28" s="376"/>
    </row>
    <row r="29" spans="2:2">
      <c r="B29" s="376"/>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sheetPr codeName="Sheet32">
    <tabColor theme="9"/>
  </sheetPr>
  <dimension ref="A1:I14"/>
  <sheetViews>
    <sheetView showGridLines="0" topLeftCell="C6" workbookViewId="0">
      <selection activeCell="H10" sqref="H10:H12"/>
    </sheetView>
  </sheetViews>
  <sheetFormatPr defaultColWidth="0" defaultRowHeight="15"/>
  <cols>
    <col min="1" max="2" width="2.7109375" hidden="1" customWidth="1"/>
    <col min="3" max="3" width="2.7109375" customWidth="1"/>
    <col min="4" max="4" width="7.140625" customWidth="1"/>
    <col min="5" max="5" width="35.7109375" style="76" customWidth="1"/>
    <col min="6" max="6" width="35.7109375" customWidth="1"/>
    <col min="7" max="7" width="17.28515625" customWidth="1"/>
    <col min="8" max="8" width="14.5703125" customWidth="1"/>
    <col min="9" max="9" width="2.7109375" customWidth="1"/>
    <col min="10" max="16384" width="9.140625" hidden="1"/>
  </cols>
  <sheetData>
    <row r="1" spans="4:9" hidden="1">
      <c r="I1">
        <v>0</v>
      </c>
    </row>
    <row r="2" spans="4:9" hidden="1"/>
    <row r="3" spans="4:9" hidden="1"/>
    <row r="4" spans="4:9" hidden="1"/>
    <row r="5" spans="4:9" hidden="1"/>
    <row r="9" spans="4:9" ht="30" customHeight="1">
      <c r="D9" s="560" t="s">
        <v>428</v>
      </c>
      <c r="E9" s="561"/>
      <c r="F9" s="561"/>
      <c r="G9" s="561"/>
      <c r="H9" s="562"/>
    </row>
    <row r="10" spans="4:9">
      <c r="D10" s="538" t="s">
        <v>137</v>
      </c>
      <c r="E10" s="480" t="s">
        <v>604</v>
      </c>
      <c r="F10" s="480" t="s">
        <v>146</v>
      </c>
      <c r="G10" s="480" t="s">
        <v>147</v>
      </c>
      <c r="H10" s="480" t="s">
        <v>148</v>
      </c>
    </row>
    <row r="11" spans="4:9">
      <c r="D11" s="558"/>
      <c r="E11" s="558"/>
      <c r="F11" s="481"/>
      <c r="G11" s="536"/>
      <c r="H11" s="481"/>
    </row>
    <row r="12" spans="4:9">
      <c r="D12" s="559"/>
      <c r="E12" s="559"/>
      <c r="F12" s="482"/>
      <c r="G12" s="537"/>
      <c r="H12" s="482"/>
    </row>
    <row r="13" spans="4:9" hidden="1">
      <c r="D13" s="343"/>
      <c r="E13" s="75"/>
      <c r="F13" s="75"/>
      <c r="G13" s="99"/>
      <c r="H13" s="100"/>
    </row>
    <row r="14" spans="4:9" ht="24.75" customHeight="1">
      <c r="D14" s="12"/>
      <c r="E14" s="13"/>
      <c r="F14" s="55"/>
      <c r="G14" s="55"/>
      <c r="H14" s="262" t="s">
        <v>449</v>
      </c>
    </row>
  </sheetData>
  <sheetProtection sheet="1" objects="1" scenarios="1"/>
  <mergeCells count="6">
    <mergeCell ref="D10:D12"/>
    <mergeCell ref="D9:H9"/>
    <mergeCell ref="E10:E12"/>
    <mergeCell ref="F10:F12"/>
    <mergeCell ref="G10:G12"/>
    <mergeCell ref="H10:H12"/>
  </mergeCells>
  <dataValidations count="2">
    <dataValidation type="whole" operator="greaterThanOrEqual" allowBlank="1" showInputMessage="1" showErrorMessage="1" sqref="G13">
      <formula1>0</formula1>
    </dataValidation>
    <dataValidation type="decimal" operator="greaterThanOrEqual" allowBlank="1" showInputMessage="1" showErrorMessage="1" sqref="H13">
      <formula1>0</formula1>
    </dataValidation>
  </dataValidations>
  <hyperlinks>
    <hyperlink ref="H14" location="'Shareholding Pattern'!F51" display="Back"/>
  </hyperlinks>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sheetPr codeName="Sheet33">
    <tabColor theme="9"/>
  </sheetPr>
  <dimension ref="A1:XFC14"/>
  <sheetViews>
    <sheetView showGridLines="0" topLeftCell="D6" workbookViewId="0">
      <selection activeCell="I14" sqref="I14"/>
    </sheetView>
  </sheetViews>
  <sheetFormatPr defaultColWidth="0" defaultRowHeight="15"/>
  <cols>
    <col min="1" max="3" width="2.7109375" hidden="1" customWidth="1"/>
    <col min="4" max="4" width="2.7109375" customWidth="1"/>
    <col min="5" max="5" width="7.140625" style="76" customWidth="1"/>
    <col min="6" max="6" width="33.140625" customWidth="1"/>
    <col min="7" max="7" width="26.28515625" customWidth="1"/>
    <col min="8" max="8" width="14.5703125" customWidth="1"/>
    <col min="9" max="9" width="22.5703125" customWidth="1"/>
    <col min="10" max="10" width="2.7109375" customWidth="1"/>
    <col min="11" max="16383" width="9.140625" hidden="1"/>
    <col min="16384" max="16384" width="3.140625" hidden="1"/>
  </cols>
  <sheetData>
    <row r="1" spans="5:9" hidden="1">
      <c r="I1">
        <v>0</v>
      </c>
    </row>
    <row r="2" spans="5:9" hidden="1"/>
    <row r="3" spans="5:9" hidden="1"/>
    <row r="4" spans="5:9" hidden="1"/>
    <row r="5" spans="5:9" hidden="1"/>
    <row r="9" spans="5:9" ht="30" customHeight="1">
      <c r="E9" s="474" t="s">
        <v>429</v>
      </c>
      <c r="F9" s="475"/>
      <c r="G9" s="475"/>
      <c r="H9" s="475"/>
      <c r="I9" s="104"/>
    </row>
    <row r="10" spans="5:9">
      <c r="E10" s="538" t="s">
        <v>137</v>
      </c>
      <c r="F10" s="480" t="s">
        <v>144</v>
      </c>
      <c r="G10" s="480" t="s">
        <v>145</v>
      </c>
      <c r="H10" s="480" t="s">
        <v>149</v>
      </c>
      <c r="I10" s="563" t="s">
        <v>385</v>
      </c>
    </row>
    <row r="11" spans="5:9">
      <c r="E11" s="558"/>
      <c r="F11" s="481"/>
      <c r="G11" s="536"/>
      <c r="H11" s="481"/>
      <c r="I11" s="564"/>
    </row>
    <row r="12" spans="5:9">
      <c r="E12" s="559"/>
      <c r="F12" s="482"/>
      <c r="G12" s="537"/>
      <c r="H12" s="482"/>
      <c r="I12" s="565"/>
    </row>
    <row r="13" spans="5:9" hidden="1">
      <c r="E13" s="195"/>
      <c r="F13" s="16"/>
      <c r="G13" s="99"/>
      <c r="H13" s="99"/>
      <c r="I13" s="105"/>
    </row>
    <row r="14" spans="5:9" ht="24.75" customHeight="1">
      <c r="E14" s="12"/>
      <c r="F14" s="55"/>
      <c r="G14" s="55"/>
      <c r="H14" s="55"/>
      <c r="I14" s="262" t="s">
        <v>450</v>
      </c>
    </row>
  </sheetData>
  <sheetProtection password="F884" sheet="1" objects="1" scenarios="1"/>
  <mergeCells count="6">
    <mergeCell ref="I10:I12"/>
    <mergeCell ref="E9:H9"/>
    <mergeCell ref="E10:E12"/>
    <mergeCell ref="F10:F12"/>
    <mergeCell ref="G10:G12"/>
    <mergeCell ref="H10:H12"/>
  </mergeCells>
  <dataValidations count="1">
    <dataValidation type="whole" operator="greaterThanOrEqual" allowBlank="1" showInputMessage="1" showErrorMessage="1" sqref="F13:H13">
      <formula1>0</formula1>
    </dataValidation>
  </dataValidations>
  <hyperlinks>
    <hyperlink ref="I14" location="'Shareholding Pattern'!F52" display="Back"/>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4</vt:i4>
      </vt:variant>
    </vt:vector>
  </HeadingPairs>
  <TitlesOfParts>
    <vt:vector size="42" baseType="lpstr">
      <vt:lpstr>Index</vt:lpstr>
      <vt:lpstr>GeneralInfo</vt:lpstr>
      <vt:lpstr>Declaration</vt:lpstr>
      <vt:lpstr>Summary</vt:lpstr>
      <vt:lpstr>Taxonomy</vt:lpstr>
      <vt:lpstr>Shareholding Pattern</vt:lpstr>
      <vt:lpstr>IndHUF</vt:lpstr>
      <vt:lpstr>SBO</vt:lpstr>
      <vt:lpstr>CGAndSG</vt:lpstr>
      <vt:lpstr>Banks</vt:lpstr>
      <vt:lpstr>OtherIND</vt:lpstr>
      <vt:lpstr>Individuals</vt:lpstr>
      <vt:lpstr>Government</vt:lpstr>
      <vt:lpstr>Institutions</vt:lpstr>
      <vt:lpstr>FPIPromoter</vt:lpstr>
      <vt:lpstr>OtherForeign</vt:lpstr>
      <vt:lpstr>MutuaFund</vt:lpstr>
      <vt:lpstr>VentureCap</vt:lpstr>
      <vt:lpstr>AIF</vt:lpstr>
      <vt:lpstr>FVC</vt:lpstr>
      <vt:lpstr>FPI_Insti</vt:lpstr>
      <vt:lpstr>Bank_Insti</vt:lpstr>
      <vt:lpstr>Insurance</vt:lpstr>
      <vt:lpstr>Pension</vt:lpstr>
      <vt:lpstr>Other_Insti</vt:lpstr>
      <vt:lpstr>CG&amp;SG&amp;PI</vt:lpstr>
      <vt:lpstr>Indivisual(aI)</vt:lpstr>
      <vt:lpstr>Indivisual(aII)</vt:lpstr>
      <vt:lpstr>NBFC</vt:lpstr>
      <vt:lpstr>EmpTrust</vt:lpstr>
      <vt:lpstr>OD</vt:lpstr>
      <vt:lpstr>Other_NonInsti</vt:lpstr>
      <vt:lpstr>DRHolder</vt:lpstr>
      <vt:lpstr>EBT</vt:lpstr>
      <vt:lpstr>Unclaimed_Prom</vt:lpstr>
      <vt:lpstr>TextBlock</vt:lpstr>
      <vt:lpstr>PAC_Public</vt:lpstr>
      <vt:lpstr>Unclaimed_Public</vt:lpstr>
      <vt:lpstr>AR</vt:lpstr>
      <vt:lpstr>half</vt:lpstr>
      <vt:lpstr>pre</vt:lpstr>
      <vt:lpstr>yy</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malav</dc:creator>
  <cp:lastModifiedBy>Saurabh</cp:lastModifiedBy>
  <cp:lastPrinted>2016-09-08T06:44:45Z</cp:lastPrinted>
  <dcterms:created xsi:type="dcterms:W3CDTF">2015-12-16T12:56:50Z</dcterms:created>
  <dcterms:modified xsi:type="dcterms:W3CDTF">2020-01-10T11:06:59Z</dcterms:modified>
</cp:coreProperties>
</file>